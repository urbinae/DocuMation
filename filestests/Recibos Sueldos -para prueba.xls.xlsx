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rface\Documents\"/>
    </mc:Choice>
  </mc:AlternateContent>
  <xr:revisionPtr revIDLastSave="0" documentId="13_ncr:1_{A1200D7C-074A-459C-BFB8-675B9EA3D355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9" i="1" l="1"/>
  <c r="D147" i="1"/>
  <c r="J145" i="1" s="1"/>
  <c r="D143" i="1"/>
  <c r="J141" i="1"/>
  <c r="K131" i="1"/>
  <c r="J131" i="1"/>
  <c r="K130" i="1"/>
  <c r="G127" i="1"/>
  <c r="D87" i="1"/>
  <c r="G83" i="1"/>
  <c r="F80" i="1"/>
  <c r="D73" i="1"/>
  <c r="D71" i="1" s="1"/>
  <c r="J69" i="1" s="1"/>
  <c r="K55" i="1"/>
  <c r="K54" i="1"/>
  <c r="J54" i="1"/>
  <c r="J130" i="1" s="1"/>
  <c r="B42" i="1"/>
  <c r="B41" i="1"/>
  <c r="B40" i="1"/>
  <c r="B39" i="1"/>
  <c r="E25" i="1"/>
  <c r="E101" i="1" s="1"/>
  <c r="D13" i="1"/>
  <c r="D89" i="1" s="1"/>
  <c r="D11" i="1"/>
  <c r="B11" i="1"/>
  <c r="B87" i="1" s="1"/>
  <c r="C8" i="1"/>
  <c r="E41" i="1" s="1"/>
  <c r="E117" i="1" s="1"/>
  <c r="B8" i="1"/>
  <c r="C11" i="1" s="1"/>
  <c r="C87" i="1" s="1"/>
  <c r="F5" i="1"/>
  <c r="B5" i="1"/>
  <c r="B3" i="1"/>
  <c r="B81" i="1" s="1"/>
  <c r="F14" i="1" l="1"/>
  <c r="C17" i="1"/>
  <c r="C93" i="1" s="1"/>
  <c r="E26" i="1"/>
  <c r="E29" i="1"/>
  <c r="B29" i="1" s="1"/>
  <c r="B105" i="1" s="1"/>
  <c r="F20" i="1"/>
  <c r="E11" i="1"/>
  <c r="E87" i="1" s="1"/>
  <c r="E30" i="1"/>
  <c r="F44" i="1"/>
  <c r="F120" i="1" s="1"/>
  <c r="F11" i="1"/>
  <c r="F87" i="1" s="1"/>
  <c r="G23" i="1"/>
  <c r="E33" i="1"/>
  <c r="B33" i="1" s="1"/>
  <c r="B109" i="1" s="1"/>
  <c r="G25" i="1"/>
  <c r="C25" i="1" s="1"/>
  <c r="E34" i="1"/>
  <c r="G11" i="1"/>
  <c r="G87" i="1" s="1"/>
  <c r="F15" i="1"/>
  <c r="F21" i="1"/>
  <c r="J50" i="1"/>
  <c r="G24" i="1"/>
  <c r="E27" i="1"/>
  <c r="E31" i="1"/>
  <c r="C35" i="1"/>
  <c r="G9" i="1"/>
  <c r="G85" i="1" s="1"/>
  <c r="C16" i="1"/>
  <c r="D16" i="1" s="1"/>
  <c r="F18" i="1"/>
  <c r="E35" i="1"/>
  <c r="B84" i="1"/>
  <c r="G101" i="1"/>
  <c r="D17" i="1"/>
  <c r="D93" i="1" s="1"/>
  <c r="G99" i="1"/>
  <c r="F17" i="1"/>
  <c r="E13" i="1"/>
  <c r="E89" i="1" s="1"/>
  <c r="J126" i="1" s="1"/>
  <c r="G22" i="1"/>
  <c r="E28" i="1"/>
  <c r="E32" i="1"/>
  <c r="C84" i="1"/>
  <c r="F13" i="1"/>
  <c r="F16" i="1"/>
  <c r="F19" i="1"/>
  <c r="E36" i="1"/>
  <c r="E106" i="1" l="1"/>
  <c r="B30" i="1"/>
  <c r="B106" i="1" s="1"/>
  <c r="E105" i="1"/>
  <c r="E109" i="1"/>
  <c r="E110" i="1"/>
  <c r="B34" i="1"/>
  <c r="B110" i="1" s="1"/>
  <c r="F96" i="1"/>
  <c r="B20" i="1"/>
  <c r="B96" i="1" s="1"/>
  <c r="E102" i="1"/>
  <c r="B26" i="1"/>
  <c r="B102" i="1" s="1"/>
  <c r="B25" i="1"/>
  <c r="B101" i="1" s="1"/>
  <c r="B23" i="1"/>
  <c r="B99" i="1" s="1"/>
  <c r="C23" i="1"/>
  <c r="C99" i="1" s="1"/>
  <c r="F90" i="1"/>
  <c r="B14" i="1"/>
  <c r="B90" i="1" s="1"/>
  <c r="G98" i="1"/>
  <c r="C22" i="1"/>
  <c r="C98" i="1" s="1"/>
  <c r="B22" i="1"/>
  <c r="B98" i="1" s="1"/>
  <c r="D64" i="1"/>
  <c r="G37" i="1"/>
  <c r="E111" i="1"/>
  <c r="B35" i="1"/>
  <c r="B111" i="1" s="1"/>
  <c r="D67" i="1"/>
  <c r="C24" i="1"/>
  <c r="C100" i="1" s="1"/>
  <c r="B24" i="1"/>
  <c r="B100" i="1" s="1"/>
  <c r="G100" i="1"/>
  <c r="D140" i="1" s="1"/>
  <c r="B36" i="1"/>
  <c r="B112" i="1" s="1"/>
  <c r="E112" i="1"/>
  <c r="J129" i="1"/>
  <c r="J128" i="1"/>
  <c r="J52" i="1"/>
  <c r="J53" i="1"/>
  <c r="B19" i="1"/>
  <c r="B95" i="1" s="1"/>
  <c r="F95" i="1"/>
  <c r="F93" i="1"/>
  <c r="B17" i="1"/>
  <c r="B93" i="1" s="1"/>
  <c r="F94" i="1"/>
  <c r="B18" i="1"/>
  <c r="B94" i="1" s="1"/>
  <c r="B21" i="1"/>
  <c r="B97" i="1" s="1"/>
  <c r="F97" i="1"/>
  <c r="F92" i="1"/>
  <c r="B16" i="1"/>
  <c r="B92" i="1" s="1"/>
  <c r="F91" i="1"/>
  <c r="B15" i="1"/>
  <c r="B91" i="1" s="1"/>
  <c r="F89" i="1"/>
  <c r="B13" i="1"/>
  <c r="B89" i="1" s="1"/>
  <c r="F37" i="1"/>
  <c r="C109" i="1"/>
  <c r="C111" i="1"/>
  <c r="E108" i="1"/>
  <c r="B32" i="1"/>
  <c r="B108" i="1" s="1"/>
  <c r="B31" i="1"/>
  <c r="E107" i="1"/>
  <c r="E104" i="1"/>
  <c r="B28" i="1"/>
  <c r="B104" i="1" s="1"/>
  <c r="E103" i="1"/>
  <c r="B27" i="1"/>
  <c r="B103" i="1" s="1"/>
  <c r="E37" i="1"/>
  <c r="F113" i="1" l="1"/>
  <c r="B9" i="1"/>
  <c r="B85" i="1" s="1"/>
  <c r="B107" i="1"/>
  <c r="G51" i="1"/>
  <c r="G53" i="1"/>
  <c r="D66" i="1" s="1"/>
  <c r="D65" i="1" s="1"/>
  <c r="J67" i="1" s="1"/>
  <c r="G130" i="1"/>
  <c r="D145" i="1" s="1"/>
  <c r="D144" i="1" s="1"/>
  <c r="J144" i="1" s="1"/>
  <c r="G56" i="1"/>
  <c r="G132" i="1"/>
  <c r="G129" i="1"/>
  <c r="D142" i="1" s="1"/>
  <c r="D141" i="1" s="1"/>
  <c r="J143" i="1" s="1"/>
  <c r="G55" i="1"/>
  <c r="D75" i="1" s="1"/>
  <c r="D74" i="1" s="1"/>
  <c r="J70" i="1" s="1"/>
  <c r="G128" i="1"/>
  <c r="G131" i="1"/>
  <c r="D151" i="1" s="1"/>
  <c r="D150" i="1" s="1"/>
  <c r="J146" i="1" s="1"/>
  <c r="G52" i="1"/>
  <c r="G38" i="1"/>
  <c r="J65" i="1" s="1"/>
  <c r="G54" i="1"/>
  <c r="D69" i="1" s="1"/>
  <c r="D68" i="1" s="1"/>
  <c r="J68" i="1" s="1"/>
  <c r="E113" i="1"/>
  <c r="G114" i="1" s="1"/>
  <c r="G113" i="1"/>
  <c r="G58" i="1" l="1"/>
  <c r="D63" i="1"/>
  <c r="D62" i="1" s="1"/>
  <c r="J66" i="1" s="1"/>
  <c r="G50" i="1"/>
  <c r="D139" i="1"/>
  <c r="D138" i="1" s="1"/>
  <c r="J142" i="1" s="1"/>
  <c r="G134" i="1"/>
  <c r="G126" i="1"/>
</calcChain>
</file>

<file path=xl/sharedStrings.xml><?xml version="1.0" encoding="utf-8"?>
<sst xmlns="http://schemas.openxmlformats.org/spreadsheetml/2006/main" count="102" uniqueCount="48">
  <si>
    <t>RECIBO DE HABERES</t>
  </si>
  <si>
    <t>CUIT:</t>
  </si>
  <si>
    <t>Periodo Abonado</t>
  </si>
  <si>
    <t>Apellido y Nombres</t>
  </si>
  <si>
    <t>CUIL:</t>
  </si>
  <si>
    <t>Obra social:</t>
  </si>
  <si>
    <t>Banco Deposito</t>
  </si>
  <si>
    <t>Periodo Seg. Soc.</t>
  </si>
  <si>
    <t>Fecha Deposito</t>
  </si>
  <si>
    <t>Tarea</t>
  </si>
  <si>
    <t>Fecha  Ingreso</t>
  </si>
  <si>
    <t>Rem. Basica</t>
  </si>
  <si>
    <t>Descripcion de Conceptos</t>
  </si>
  <si>
    <t>Remuneracion $</t>
  </si>
  <si>
    <t>Descuentos $</t>
  </si>
  <si>
    <t>Totales</t>
  </si>
  <si>
    <t>Total Neto</t>
  </si>
  <si>
    <t>Son pesos</t>
  </si>
  <si>
    <t>Lugar y fecha</t>
  </si>
  <si>
    <t>de pago</t>
  </si>
  <si>
    <t>Buenos Aires,</t>
  </si>
  <si>
    <t>……………………………………</t>
  </si>
  <si>
    <t>Firma Empleado</t>
  </si>
  <si>
    <t>Costo Total del empleador</t>
  </si>
  <si>
    <t>Total Contribucion Seguridad Social</t>
  </si>
  <si>
    <t>Total Contribucion Obra Social</t>
  </si>
  <si>
    <t>ART</t>
  </si>
  <si>
    <t>Seguro de Vida</t>
  </si>
  <si>
    <t>Costos derivados de CCT</t>
  </si>
  <si>
    <t>Subtotal Contribucion del empleador</t>
  </si>
  <si>
    <t>Detalle de la composicion del costo laboral</t>
  </si>
  <si>
    <t>Total Seguridad Social</t>
  </si>
  <si>
    <t>Costo Total empleador</t>
  </si>
  <si>
    <t>Empleador</t>
  </si>
  <si>
    <t>Trabajador</t>
  </si>
  <si>
    <t>Total Obra social</t>
  </si>
  <si>
    <t>Sueldo neto</t>
  </si>
  <si>
    <t>Seguridad Social</t>
  </si>
  <si>
    <t>Obra social</t>
  </si>
  <si>
    <t>Total ART</t>
  </si>
  <si>
    <t>Costo Sindical</t>
  </si>
  <si>
    <t>SCVO</t>
  </si>
  <si>
    <t>Total Costo sindical</t>
  </si>
  <si>
    <t>Total SCVO</t>
  </si>
  <si>
    <t>Carlos E. Biscay</t>
  </si>
  <si>
    <t>Socio Gerente</t>
  </si>
  <si>
    <t>Firma Empleador</t>
  </si>
  <si>
    <t>20-33304672-6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</si>
</sst>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-yyyy"/>
    <numFmt numFmtId="165" formatCode="mmm\-yyyy"/>
    <numFmt numFmtId="166" formatCode="[$$-2C0A]\ #,##0.00;[$$-2C0A]&quot; -&quot;#,##0.00"/>
    <numFmt numFmtId="167" formatCode="d&quot; de &quot;mmmm&quot; de &quot;yyyy"/>
    <numFmt numFmtId="168" formatCode="_-* #,##0.00_-;\-* #,##0.00_-;_-* &quot;-&quot;??_-;_-@"/>
    <numFmt numFmtId="169" formatCode="_ * #,##0.00_ ;_ * \-#,##0.00_ ;_ * &quot;-&quot;??_ ;_ @_ "/>
    <numFmt numFmtId="170" formatCode="d/mm/yyyy"/>
  </numFmts>
  <fonts count="16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8"/>
      <color theme="1"/>
      <name val="Verdana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3E3E3"/>
        <bgColor rgb="FFE3E3E3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4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7" xfId="0" applyFont="1" applyBorder="1"/>
    <xf numFmtId="0" fontId="6" fillId="0" borderId="0" xfId="0" applyFont="1"/>
    <xf numFmtId="0" fontId="2" fillId="0" borderId="7" xfId="0" applyFont="1" applyBorder="1"/>
    <xf numFmtId="0" fontId="2" fillId="0" borderId="4" xfId="0" applyFont="1" applyBorder="1"/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/>
    <xf numFmtId="0" fontId="9" fillId="3" borderId="9" xfId="0" applyFont="1" applyFill="1" applyBorder="1" applyAlignment="1">
      <alignment horizontal="right"/>
    </xf>
    <xf numFmtId="0" fontId="9" fillId="3" borderId="11" xfId="0" applyFont="1" applyFill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12" xfId="0" applyFont="1" applyBorder="1"/>
    <xf numFmtId="0" fontId="9" fillId="4" borderId="9" xfId="0" applyFont="1" applyFill="1" applyBorder="1" applyAlignment="1">
      <alignment horizontal="right"/>
    </xf>
    <xf numFmtId="4" fontId="9" fillId="4" borderId="11" xfId="0" applyNumberFormat="1" applyFont="1" applyFill="1" applyBorder="1" applyAlignment="1">
      <alignment horizontal="left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2" fillId="0" borderId="15" xfId="0" applyNumberFormat="1" applyFont="1" applyBorder="1"/>
    <xf numFmtId="0" fontId="9" fillId="4" borderId="10" xfId="0" applyFont="1" applyFill="1" applyBorder="1"/>
    <xf numFmtId="0" fontId="9" fillId="4" borderId="1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4" fontId="2" fillId="0" borderId="16" xfId="0" applyNumberFormat="1" applyFont="1" applyBorder="1"/>
    <xf numFmtId="4" fontId="2" fillId="0" borderId="17" xfId="0" applyNumberFormat="1" applyFont="1" applyBorder="1"/>
    <xf numFmtId="4" fontId="2" fillId="0" borderId="0" xfId="0" applyNumberFormat="1" applyFont="1"/>
    <xf numFmtId="0" fontId="2" fillId="0" borderId="4" xfId="0" applyFont="1" applyBorder="1" applyAlignment="1">
      <alignment shrinkToFit="1"/>
    </xf>
    <xf numFmtId="3" fontId="2" fillId="0" borderId="0" xfId="0" applyNumberFormat="1" applyFont="1" applyAlignment="1">
      <alignment horizontal="right"/>
    </xf>
    <xf numFmtId="4" fontId="7" fillId="0" borderId="0" xfId="0" applyNumberFormat="1" applyFont="1"/>
    <xf numFmtId="4" fontId="7" fillId="0" borderId="17" xfId="0" applyNumberFormat="1" applyFont="1" applyBorder="1"/>
    <xf numFmtId="9" fontId="2" fillId="0" borderId="0" xfId="0" applyNumberFormat="1" applyFont="1" applyAlignment="1">
      <alignment horizontal="left"/>
    </xf>
    <xf numFmtId="0" fontId="8" fillId="0" borderId="0" xfId="0" applyFont="1"/>
    <xf numFmtId="0" fontId="2" fillId="0" borderId="4" xfId="0" applyFont="1" applyBorder="1" applyAlignment="1">
      <alignment horizontal="left" shrinkToFit="1"/>
    </xf>
    <xf numFmtId="9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2" fillId="0" borderId="18" xfId="0" applyFont="1" applyBorder="1" applyAlignment="1">
      <alignment horizontal="right"/>
    </xf>
    <xf numFmtId="0" fontId="2" fillId="0" borderId="19" xfId="0" applyFont="1" applyBorder="1"/>
    <xf numFmtId="4" fontId="2" fillId="0" borderId="14" xfId="0" applyNumberFormat="1" applyFont="1" applyBorder="1"/>
    <xf numFmtId="4" fontId="2" fillId="0" borderId="20" xfId="0" applyNumberFormat="1" applyFont="1" applyBorder="1"/>
    <xf numFmtId="4" fontId="12" fillId="0" borderId="0" xfId="0" applyNumberFormat="1" applyFont="1" applyAlignment="1">
      <alignment horizontal="right"/>
    </xf>
    <xf numFmtId="4" fontId="12" fillId="0" borderId="23" xfId="0" applyNumberFormat="1" applyFont="1" applyBorder="1"/>
    <xf numFmtId="0" fontId="2" fillId="0" borderId="24" xfId="0" applyFont="1" applyBorder="1" applyAlignment="1">
      <alignment horizontal="right"/>
    </xf>
    <xf numFmtId="0" fontId="2" fillId="0" borderId="22" xfId="0" applyFont="1" applyBorder="1"/>
    <xf numFmtId="0" fontId="2" fillId="0" borderId="25" xfId="0" applyFont="1" applyBorder="1"/>
    <xf numFmtId="0" fontId="2" fillId="0" borderId="12" xfId="0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/>
    <xf numFmtId="0" fontId="2" fillId="0" borderId="12" xfId="0" applyFont="1" applyBorder="1" applyAlignment="1">
      <alignment horizontal="center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left"/>
    </xf>
    <xf numFmtId="167" fontId="2" fillId="0" borderId="19" xfId="0" applyNumberFormat="1" applyFont="1" applyBorder="1"/>
    <xf numFmtId="0" fontId="2" fillId="0" borderId="28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4" fontId="1" fillId="0" borderId="0" xfId="0" applyNumberFormat="1" applyFont="1"/>
    <xf numFmtId="0" fontId="12" fillId="0" borderId="0" xfId="0" applyFont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168" fontId="5" fillId="0" borderId="31" xfId="0" applyNumberFormat="1" applyFont="1" applyBorder="1"/>
    <xf numFmtId="4" fontId="1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12" xfId="0" applyFont="1" applyBorder="1"/>
    <xf numFmtId="0" fontId="13" fillId="0" borderId="0" xfId="0" applyFont="1"/>
    <xf numFmtId="168" fontId="13" fillId="0" borderId="0" xfId="0" applyNumberFormat="1" applyFont="1"/>
    <xf numFmtId="168" fontId="14" fillId="0" borderId="32" xfId="0" applyNumberFormat="1" applyFont="1" applyBorder="1"/>
    <xf numFmtId="4" fontId="13" fillId="0" borderId="0" xfId="0" applyNumberFormat="1" applyFont="1"/>
    <xf numFmtId="168" fontId="13" fillId="0" borderId="32" xfId="0" applyNumberFormat="1" applyFont="1" applyBorder="1"/>
    <xf numFmtId="10" fontId="13" fillId="0" borderId="0" xfId="0" applyNumberFormat="1" applyFont="1"/>
    <xf numFmtId="168" fontId="11" fillId="0" borderId="0" xfId="0" applyNumberFormat="1" applyFont="1"/>
    <xf numFmtId="0" fontId="15" fillId="0" borderId="9" xfId="0" applyFont="1" applyBorder="1"/>
    <xf numFmtId="0" fontId="15" fillId="0" borderId="10" xfId="0" applyFont="1" applyBorder="1"/>
    <xf numFmtId="168" fontId="15" fillId="0" borderId="10" xfId="0" applyNumberFormat="1" applyFont="1" applyBorder="1"/>
    <xf numFmtId="168" fontId="15" fillId="0" borderId="33" xfId="0" applyNumberFormat="1" applyFont="1" applyBorder="1"/>
    <xf numFmtId="168" fontId="15" fillId="0" borderId="32" xfId="0" applyNumberFormat="1" applyFont="1" applyBorder="1"/>
    <xf numFmtId="169" fontId="13" fillId="0" borderId="0" xfId="0" applyNumberFormat="1" applyFont="1"/>
    <xf numFmtId="168" fontId="15" fillId="0" borderId="0" xfId="0" applyNumberFormat="1" applyFont="1"/>
    <xf numFmtId="0" fontId="11" fillId="0" borderId="0" xfId="0" applyFont="1"/>
    <xf numFmtId="168" fontId="11" fillId="0" borderId="32" xfId="0" applyNumberFormat="1" applyFont="1" applyBorder="1"/>
    <xf numFmtId="4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12" xfId="0" applyFont="1" applyBorder="1"/>
    <xf numFmtId="169" fontId="11" fillId="0" borderId="0" xfId="0" applyNumberFormat="1" applyFont="1"/>
    <xf numFmtId="0" fontId="11" fillId="0" borderId="26" xfId="0" applyFont="1" applyBorder="1"/>
    <xf numFmtId="0" fontId="11" fillId="0" borderId="19" xfId="0" applyFont="1" applyBorder="1"/>
    <xf numFmtId="168" fontId="11" fillId="0" borderId="19" xfId="0" applyNumberFormat="1" applyFont="1" applyBorder="1"/>
    <xf numFmtId="168" fontId="11" fillId="0" borderId="34" xfId="0" applyNumberFormat="1" applyFont="1" applyBorder="1"/>
    <xf numFmtId="0" fontId="2" fillId="0" borderId="35" xfId="0" applyFont="1" applyBorder="1"/>
    <xf numFmtId="0" fontId="2" fillId="0" borderId="36" xfId="0" applyFont="1" applyBorder="1"/>
    <xf numFmtId="170" fontId="2" fillId="0" borderId="1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32" xfId="0" applyFont="1" applyBorder="1"/>
    <xf numFmtId="0" fontId="2" fillId="0" borderId="4" xfId="0" applyFont="1" applyBorder="1" applyAlignment="1">
      <alignment horizontal="center"/>
    </xf>
    <xf numFmtId="167" fontId="2" fillId="0" borderId="0" xfId="0" applyNumberFormat="1" applyFont="1" applyAlignment="1">
      <alignment horizontal="left"/>
    </xf>
    <xf numFmtId="0" fontId="4" fillId="0" borderId="7" xfId="0" applyFont="1" applyBorder="1"/>
    <xf numFmtId="0" fontId="2" fillId="0" borderId="5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33" xfId="0" applyFont="1" applyBorder="1"/>
    <xf numFmtId="0" fontId="9" fillId="4" borderId="8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center"/>
    </xf>
    <xf numFmtId="0" fontId="4" fillId="0" borderId="22" xfId="0" applyFont="1" applyBorder="1"/>
    <xf numFmtId="0" fontId="0" fillId="0" borderId="0" xfId="0" applyFont="1" applyAlignment="1"/>
    <xf numFmtId="4" fontId="2" fillId="0" borderId="0" xfId="0" applyNumberFormat="1" applyFont="1" applyAlignment="1">
      <alignment horizontal="left" shrinkToFit="1"/>
    </xf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horizontal="center"/>
    </xf>
    <xf numFmtId="0" fontId="9" fillId="3" borderId="9" xfId="0" applyFont="1" applyFill="1" applyBorder="1" applyAlignment="1">
      <alignment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751-4921-AAC6-FC9E275141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751-4921-AAC6-FC9E275141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751-4921-AAC6-FC9E275141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751-4921-AAC6-FC9E275141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751-4921-AAC6-FC9E2751410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751-4921-AAC6-FC9E2751410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51-4921-AAC6-FC9E2751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54B-49A4-86AE-9DE97CE58A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54B-49A4-86AE-9DE97CE58A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54B-49A4-86AE-9DE97CE58A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54B-49A4-86AE-9DE97CE58A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54B-49A4-86AE-9DE97CE58A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A54B-49A4-86AE-9DE97CE58A5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'[1]Latsague V'!$I$65:$I$70</c:f>
              <c:strCache>
                <c:ptCount val="6"/>
                <c:pt idx="0">
                  <c:v>Sueldo neto</c:v>
                </c:pt>
                <c:pt idx="1">
                  <c:v>Seguridad Social</c:v>
                </c:pt>
                <c:pt idx="2">
                  <c:v>Obra social</c:v>
                </c:pt>
                <c:pt idx="3">
                  <c:v>ART</c:v>
                </c:pt>
                <c:pt idx="4">
                  <c:v>Costo Sindical</c:v>
                </c:pt>
                <c:pt idx="5">
                  <c:v>SCVO</c:v>
                </c:pt>
              </c:strCache>
            </c:strRef>
          </c:cat>
          <c:val>
            <c:numRef>
              <c:f>'[1]Latsague V'!$J$65:$J$70</c:f>
              <c:numCache>
                <c:formatCode>General</c:formatCode>
                <c:ptCount val="6"/>
                <c:pt idx="0">
                  <c:v>1020576</c:v>
                </c:pt>
                <c:pt idx="1">
                  <c:v>393475.0843373494</c:v>
                </c:pt>
                <c:pt idx="2">
                  <c:v>110664.86746987951</c:v>
                </c:pt>
                <c:pt idx="3">
                  <c:v>13397.330602409638</c:v>
                </c:pt>
                <c:pt idx="4">
                  <c:v>0</c:v>
                </c:pt>
                <c:pt idx="5">
                  <c:v>424.62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4B-49A4-86AE-9DE97CE58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895350</xdr:colOff>
      <xdr:row>62</xdr:row>
      <xdr:rowOff>47625</xdr:rowOff>
    </xdr:from>
    <xdr:ext cx="3095625" cy="2571750"/>
    <xdr:graphicFrame macro="">
      <xdr:nvGraphicFramePr>
        <xdr:cNvPr id="5" name="Chart 5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138</xdr:row>
      <xdr:rowOff>123825</xdr:rowOff>
    </xdr:from>
    <xdr:ext cx="3095625" cy="2571750"/>
    <xdr:graphicFrame macro="">
      <xdr:nvGraphicFramePr>
        <xdr:cNvPr id="6" name="Chart 5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685800</xdr:colOff>
      <xdr:row>113</xdr:row>
      <xdr:rowOff>104775</xdr:rowOff>
    </xdr:from>
    <xdr:ext cx="1838325" cy="781050"/>
    <xdr:pic>
      <xdr:nvPicPr>
        <xdr:cNvPr id="7" name="image2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2500" y="18478500"/>
          <a:ext cx="1838325" cy="781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liaCastro/Downloads/2026-07%20-%20Recibos%20Sueld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2"/>
      <sheetName val="Hoja1"/>
      <sheetName val="Hoja4"/>
      <sheetName val="Modelo"/>
      <sheetName val="Letras"/>
      <sheetName val="Ret SUSS"/>
      <sheetName val="Nomina"/>
      <sheetName val="SICOSS"/>
      <sheetName val="Libro reduc"/>
      <sheetName val="Libro"/>
      <sheetName val="Resumen"/>
      <sheetName val="CUSS"/>
      <sheetName val="XCCOST"/>
      <sheetName val="XAsiento"/>
      <sheetName val="Biscay C."/>
      <sheetName val="Rodriguez L."/>
      <sheetName val="Verissimo S."/>
      <sheetName val="Garcia L"/>
      <sheetName val="Castro J"/>
      <sheetName val="Belizan D"/>
      <sheetName val="Perrotta M"/>
      <sheetName val="Cibils S"/>
      <sheetName val="Gil K"/>
      <sheetName val="Arriola O"/>
      <sheetName val="Hudoklin V"/>
      <sheetName val="Torres M "/>
      <sheetName val="Lillo J "/>
      <sheetName val="Camargo G"/>
      <sheetName val="Feduccia M."/>
      <sheetName val="Gomez V"/>
      <sheetName val="Villegas S"/>
      <sheetName val="Raganato P"/>
      <sheetName val="Castro A "/>
      <sheetName val="Torres N "/>
      <sheetName val="Orellano R "/>
      <sheetName val="Hernando V "/>
      <sheetName val="Roig L "/>
      <sheetName val="Zagarzazu M "/>
      <sheetName val="Raganato S "/>
      <sheetName val="Kmet R "/>
      <sheetName val="Latsague V"/>
      <sheetName val="Mayoral C"/>
      <sheetName val="39"/>
      <sheetName val="40"/>
      <sheetName val="41"/>
    </sheetNames>
    <sheetDataSet>
      <sheetData sheetId="0"/>
      <sheetData sheetId="1"/>
      <sheetData sheetId="2"/>
      <sheetData sheetId="3">
        <row r="9">
          <cell r="B9" t="str">
            <v>Liq Final</v>
          </cell>
        </row>
        <row r="13">
          <cell r="B13" t="str">
            <v>Remuneracion</v>
          </cell>
          <cell r="D13" t="str">
            <v>Jornada hs.</v>
          </cell>
        </row>
        <row r="14">
          <cell r="B14" t="str">
            <v>Antigüedad</v>
          </cell>
        </row>
        <row r="15">
          <cell r="B15" t="str">
            <v>Bonificacion por titulo</v>
          </cell>
        </row>
        <row r="16">
          <cell r="C16" t="str">
            <v>Horas extras 50%</v>
          </cell>
        </row>
        <row r="17">
          <cell r="B17" t="str">
            <v>Horas extras 100%</v>
          </cell>
        </row>
        <row r="18">
          <cell r="B18" t="str">
            <v>A cuenta futuros aumentos</v>
          </cell>
        </row>
        <row r="19">
          <cell r="B19" t="str">
            <v>Adicional Vacaciones</v>
          </cell>
        </row>
        <row r="20">
          <cell r="B20" t="str">
            <v>SAC</v>
          </cell>
        </row>
        <row r="21">
          <cell r="B21" t="str">
            <v>Resolución 219/20 MT</v>
          </cell>
        </row>
        <row r="22">
          <cell r="B22" t="str">
            <v>Jubilación</v>
          </cell>
        </row>
        <row r="23">
          <cell r="B23" t="str">
            <v>I.N.S.S.J.P.</v>
          </cell>
        </row>
        <row r="24">
          <cell r="B24" t="str">
            <v>Obra Social</v>
          </cell>
        </row>
        <row r="25">
          <cell r="B25" t="str">
            <v>Cuota sindical y FAECYS</v>
          </cell>
          <cell r="C25">
            <v>2.5000000000000001E-2</v>
          </cell>
        </row>
        <row r="26">
          <cell r="B26" t="str">
            <v>Asignacion no remunerativa -  Decreto 438/2023</v>
          </cell>
        </row>
        <row r="27">
          <cell r="B27" t="str">
            <v xml:space="preserve"> </v>
          </cell>
        </row>
        <row r="28">
          <cell r="B28" t="str">
            <v>Indemnizacion por antigüedad</v>
          </cell>
        </row>
        <row r="29">
          <cell r="B29" t="str">
            <v>I.N.S.S.J.P.</v>
          </cell>
        </row>
        <row r="30">
          <cell r="B30" t="str">
            <v>Obra Social</v>
          </cell>
        </row>
        <row r="31">
          <cell r="B31" t="str">
            <v>VNG</v>
          </cell>
        </row>
        <row r="32">
          <cell r="B32" t="str">
            <v>SAC VNG</v>
          </cell>
        </row>
        <row r="33">
          <cell r="B33" t="str">
            <v>Gratificacion extraordinaria por unica vez</v>
          </cell>
        </row>
        <row r="34">
          <cell r="B34" t="str">
            <v>Ret. Imp a las Ganancias</v>
          </cell>
        </row>
        <row r="35">
          <cell r="B35" t="str">
            <v>Beneficio Dec 561/19</v>
          </cell>
        </row>
        <row r="36">
          <cell r="B36" t="str">
            <v>Indemnizacion por antigüedad</v>
          </cell>
        </row>
        <row r="39">
          <cell r="B39" t="str">
            <v>Recibí de la firma cuyo rubro se indica</v>
          </cell>
        </row>
        <row r="40">
          <cell r="B40" t="str">
            <v>arriba el importe neto de esta liquidación</v>
          </cell>
        </row>
        <row r="41">
          <cell r="B41" t="str">
            <v>en pago de mi remuneración correspondiente</v>
          </cell>
        </row>
        <row r="42">
          <cell r="B42" t="str">
            <v>al periodo indicado y duplicado en la misma.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Sync Technologies S.R.L.</v>
          </cell>
        </row>
        <row r="2">
          <cell r="B2" t="str">
            <v>Pje Carabelas 235 9º piso - Ciudad de Buenos Aires</v>
          </cell>
        </row>
        <row r="3">
          <cell r="D3" t="str">
            <v>30-69549623-7</v>
          </cell>
        </row>
        <row r="6">
          <cell r="D6" t="str">
            <v>GALICIA</v>
          </cell>
        </row>
        <row r="11">
          <cell r="B11" t="e">
            <v>#N/A</v>
          </cell>
          <cell r="C11" t="e">
            <v>#N/A</v>
          </cell>
          <cell r="D11" t="str">
            <v>20-14364387-6</v>
          </cell>
          <cell r="E11">
            <v>46234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M11" t="e">
            <v>#N/A</v>
          </cell>
          <cell r="N11">
            <v>0</v>
          </cell>
          <cell r="O11">
            <v>0</v>
          </cell>
          <cell r="Q11" t="e">
            <v>#N/A</v>
          </cell>
          <cell r="R11" t="e">
            <v>#N/A</v>
          </cell>
          <cell r="U11" t="e">
            <v>#N/A</v>
          </cell>
          <cell r="V11" t="e">
            <v>#N/A</v>
          </cell>
          <cell r="W11">
            <v>28</v>
          </cell>
          <cell r="Y11">
            <v>35</v>
          </cell>
          <cell r="AB11">
            <v>46240</v>
          </cell>
        </row>
        <row r="12">
          <cell r="B12" t="e">
            <v>#N/A</v>
          </cell>
          <cell r="C12" t="e">
            <v>#N/A</v>
          </cell>
          <cell r="D12" t="str">
            <v>20-17969460-4</v>
          </cell>
          <cell r="E12">
            <v>46234</v>
          </cell>
          <cell r="F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M12" t="e">
            <v>#N/A</v>
          </cell>
          <cell r="N12">
            <v>0</v>
          </cell>
          <cell r="O12">
            <v>0</v>
          </cell>
          <cell r="Q12" t="e">
            <v>#N/A</v>
          </cell>
          <cell r="R12" t="e">
            <v>#N/A</v>
          </cell>
          <cell r="U12" t="e">
            <v>#N/A</v>
          </cell>
          <cell r="V12" t="e">
            <v>#N/A</v>
          </cell>
          <cell r="W12">
            <v>35</v>
          </cell>
          <cell r="Y12">
            <v>35</v>
          </cell>
          <cell r="AB12">
            <v>46240</v>
          </cell>
        </row>
        <row r="13">
          <cell r="B13" t="e">
            <v>#N/A</v>
          </cell>
          <cell r="C13" t="e">
            <v>#N/A</v>
          </cell>
          <cell r="D13" t="str">
            <v>20-31160491-1</v>
          </cell>
          <cell r="E13">
            <v>46234</v>
          </cell>
          <cell r="F13" t="e">
            <v>#N/A</v>
          </cell>
          <cell r="G13" t="e">
            <v>#N/A</v>
          </cell>
          <cell r="H13" t="e">
            <v>#N/A</v>
          </cell>
          <cell r="I13" t="e">
            <v>#N/A</v>
          </cell>
          <cell r="K13">
            <v>5</v>
          </cell>
          <cell r="L13">
            <v>0</v>
          </cell>
          <cell r="M13" t="e">
            <v>#N/A</v>
          </cell>
          <cell r="N13">
            <v>0</v>
          </cell>
          <cell r="O13">
            <v>0</v>
          </cell>
          <cell r="Q13" t="e">
            <v>#N/A</v>
          </cell>
          <cell r="R13" t="e">
            <v>#N/A</v>
          </cell>
          <cell r="U13" t="e">
            <v>#N/A</v>
          </cell>
          <cell r="V13" t="e">
            <v>#N/A</v>
          </cell>
          <cell r="W13">
            <v>28</v>
          </cell>
          <cell r="Y13">
            <v>28</v>
          </cell>
          <cell r="AB13">
            <v>46240</v>
          </cell>
        </row>
        <row r="14">
          <cell r="B14" t="e">
            <v>#N/A</v>
          </cell>
          <cell r="C14" t="e">
            <v>#N/A</v>
          </cell>
          <cell r="D14" t="str">
            <v>27-20294916-4</v>
          </cell>
          <cell r="E14">
            <v>46234</v>
          </cell>
          <cell r="F14" t="e">
            <v>#N/A</v>
          </cell>
          <cell r="G14" t="e">
            <v>#N/A</v>
          </cell>
          <cell r="H14" t="e">
            <v>#N/A</v>
          </cell>
          <cell r="I14" t="e">
            <v>#N/A</v>
          </cell>
          <cell r="M14" t="e">
            <v>#N/A</v>
          </cell>
          <cell r="N14">
            <v>0</v>
          </cell>
          <cell r="O14">
            <v>0</v>
          </cell>
          <cell r="Q14" t="e">
            <v>#N/A</v>
          </cell>
          <cell r="R14" t="e">
            <v>#N/A</v>
          </cell>
          <cell r="U14" t="e">
            <v>#N/A</v>
          </cell>
          <cell r="V14" t="e">
            <v>#N/A</v>
          </cell>
          <cell r="W14">
            <v>28</v>
          </cell>
          <cell r="Y14">
            <v>28</v>
          </cell>
          <cell r="AB14">
            <v>46240</v>
          </cell>
        </row>
        <row r="15">
          <cell r="B15" t="e">
            <v>#N/A</v>
          </cell>
          <cell r="C15" t="e">
            <v>#N/A</v>
          </cell>
          <cell r="D15" t="str">
            <v>20-19115865-3</v>
          </cell>
          <cell r="E15">
            <v>46234</v>
          </cell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M15" t="e">
            <v>#N/A</v>
          </cell>
          <cell r="N15">
            <v>0</v>
          </cell>
          <cell r="O15">
            <v>0</v>
          </cell>
          <cell r="Q15" t="e">
            <v>#N/A</v>
          </cell>
          <cell r="R15" t="e">
            <v>#N/A</v>
          </cell>
          <cell r="U15" t="e">
            <v>#N/A</v>
          </cell>
          <cell r="V15" t="e">
            <v>#N/A</v>
          </cell>
          <cell r="W15">
            <v>14</v>
          </cell>
          <cell r="Y15">
            <v>14</v>
          </cell>
          <cell r="AB15">
            <v>46240</v>
          </cell>
        </row>
        <row r="16">
          <cell r="B16" t="e">
            <v>#N/A</v>
          </cell>
          <cell r="C16" t="e">
            <v>#N/A</v>
          </cell>
          <cell r="D16" t="str">
            <v>20-27728247-0</v>
          </cell>
          <cell r="E16">
            <v>46234</v>
          </cell>
          <cell r="F16" t="e">
            <v>#N/A</v>
          </cell>
          <cell r="G16" t="e">
            <v>#N/A</v>
          </cell>
          <cell r="H16" t="e">
            <v>#N/A</v>
          </cell>
          <cell r="I16" t="e">
            <v>#N/A</v>
          </cell>
          <cell r="K16">
            <v>0</v>
          </cell>
          <cell r="L16">
            <v>0</v>
          </cell>
          <cell r="M16" t="e">
            <v>#N/A</v>
          </cell>
          <cell r="N16">
            <v>0</v>
          </cell>
          <cell r="O16">
            <v>0</v>
          </cell>
          <cell r="Q16" t="e">
            <v>#N/A</v>
          </cell>
          <cell r="R16" t="e">
            <v>#N/A</v>
          </cell>
          <cell r="U16" t="e">
            <v>#N/A</v>
          </cell>
          <cell r="V16" t="e">
            <v>#N/A</v>
          </cell>
          <cell r="W16">
            <v>28</v>
          </cell>
          <cell r="Y16">
            <v>28</v>
          </cell>
          <cell r="AB16">
            <v>46240</v>
          </cell>
        </row>
        <row r="17">
          <cell r="B17" t="e">
            <v>#N/A</v>
          </cell>
          <cell r="C17" t="e">
            <v>#N/A</v>
          </cell>
          <cell r="D17" t="str">
            <v>23-21574538-4</v>
          </cell>
          <cell r="E17">
            <v>46234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M17" t="e">
            <v>#N/A</v>
          </cell>
          <cell r="N17">
            <v>0</v>
          </cell>
          <cell r="O17">
            <v>0</v>
          </cell>
          <cell r="Q17" t="e">
            <v>#N/A</v>
          </cell>
          <cell r="R17" t="e">
            <v>#N/A</v>
          </cell>
          <cell r="U17" t="e">
            <v>#N/A</v>
          </cell>
          <cell r="V17" t="e">
            <v>#N/A</v>
          </cell>
          <cell r="W17">
            <v>14</v>
          </cell>
          <cell r="Y17">
            <v>14</v>
          </cell>
          <cell r="AB17">
            <v>46240</v>
          </cell>
        </row>
        <row r="18">
          <cell r="B18" t="e">
            <v>#N/A</v>
          </cell>
          <cell r="C18" t="e">
            <v>#N/A</v>
          </cell>
          <cell r="D18" t="str">
            <v>27-17205841-3</v>
          </cell>
          <cell r="E18">
            <v>46234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M18" t="e">
            <v>#N/A</v>
          </cell>
          <cell r="N18">
            <v>0</v>
          </cell>
          <cell r="O18">
            <v>0</v>
          </cell>
          <cell r="R18" t="e">
            <v>#N/A</v>
          </cell>
          <cell r="U18" t="e">
            <v>#N/A</v>
          </cell>
          <cell r="V18" t="e">
            <v>#N/A</v>
          </cell>
          <cell r="W18">
            <v>28</v>
          </cell>
          <cell r="Y18">
            <v>28</v>
          </cell>
          <cell r="AB18">
            <v>46240</v>
          </cell>
        </row>
        <row r="19">
          <cell r="B19" t="e">
            <v>#N/A</v>
          </cell>
          <cell r="C19" t="e">
            <v>#N/A</v>
          </cell>
          <cell r="D19" t="str">
            <v>27-27634746-8</v>
          </cell>
          <cell r="E19">
            <v>46234</v>
          </cell>
          <cell r="F19" t="e">
            <v>#N/A</v>
          </cell>
          <cell r="G19" t="e">
            <v>#N/A</v>
          </cell>
          <cell r="H19" t="e">
            <v>#N/A</v>
          </cell>
          <cell r="I19" t="e">
            <v>#N/A</v>
          </cell>
          <cell r="K19">
            <v>0</v>
          </cell>
          <cell r="L19">
            <v>0</v>
          </cell>
          <cell r="M19" t="e">
            <v>#N/A</v>
          </cell>
          <cell r="N19">
            <v>0</v>
          </cell>
          <cell r="O19">
            <v>0</v>
          </cell>
          <cell r="Q19" t="e">
            <v>#N/A</v>
          </cell>
          <cell r="R19" t="e">
            <v>#N/A</v>
          </cell>
          <cell r="U19" t="e">
            <v>#N/A</v>
          </cell>
          <cell r="V19" t="e">
            <v>#N/A</v>
          </cell>
          <cell r="W19">
            <v>28</v>
          </cell>
          <cell r="Y19">
            <v>28</v>
          </cell>
          <cell r="AB19">
            <v>46240</v>
          </cell>
        </row>
        <row r="20">
          <cell r="B20" t="e">
            <v>#N/A</v>
          </cell>
          <cell r="C20" t="e">
            <v>#N/A</v>
          </cell>
          <cell r="D20" t="str">
            <v>20-30546052-5</v>
          </cell>
          <cell r="E20">
            <v>46234</v>
          </cell>
          <cell r="F20" t="e">
            <v>#N/A</v>
          </cell>
          <cell r="G20" t="e">
            <v>#N/A</v>
          </cell>
          <cell r="H20" t="e">
            <v>#N/A</v>
          </cell>
          <cell r="I20" t="e">
            <v>#N/A</v>
          </cell>
          <cell r="M20" t="e">
            <v>#N/A</v>
          </cell>
          <cell r="N20">
            <v>0</v>
          </cell>
          <cell r="O20">
            <v>0</v>
          </cell>
          <cell r="Q20" t="e">
            <v>#N/A</v>
          </cell>
          <cell r="R20" t="e">
            <v>#N/A</v>
          </cell>
          <cell r="U20" t="e">
            <v>#N/A</v>
          </cell>
          <cell r="V20" t="e">
            <v>#N/A</v>
          </cell>
          <cell r="W20">
            <v>28</v>
          </cell>
          <cell r="Y20">
            <v>28</v>
          </cell>
          <cell r="AB20">
            <v>46240</v>
          </cell>
        </row>
        <row r="21">
          <cell r="B21" t="e">
            <v>#N/A</v>
          </cell>
          <cell r="C21" t="e">
            <v>#N/A</v>
          </cell>
          <cell r="D21" t="str">
            <v>27-28304545-0</v>
          </cell>
          <cell r="E21">
            <v>46234</v>
          </cell>
          <cell r="F21" t="e">
            <v>#N/A</v>
          </cell>
          <cell r="G21" t="e">
            <v>#N/A</v>
          </cell>
          <cell r="H21" t="e">
            <v>#N/A</v>
          </cell>
          <cell r="I21" t="e">
            <v>#N/A</v>
          </cell>
          <cell r="M21" t="e">
            <v>#N/A</v>
          </cell>
          <cell r="N21">
            <v>0</v>
          </cell>
          <cell r="O21">
            <v>0</v>
          </cell>
          <cell r="Q21" t="e">
            <v>#N/A</v>
          </cell>
          <cell r="R21" t="e">
            <v>#N/A</v>
          </cell>
          <cell r="U21" t="e">
            <v>#N/A</v>
          </cell>
          <cell r="V21" t="e">
            <v>#N/A</v>
          </cell>
          <cell r="W21">
            <v>28</v>
          </cell>
          <cell r="Y21">
            <v>28</v>
          </cell>
          <cell r="AB21">
            <v>46240</v>
          </cell>
        </row>
        <row r="22">
          <cell r="B22" t="e">
            <v>#N/A</v>
          </cell>
          <cell r="C22" t="e">
            <v>#N/A</v>
          </cell>
          <cell r="D22" t="str">
            <v>20-19116626-5</v>
          </cell>
          <cell r="E22">
            <v>46234</v>
          </cell>
          <cell r="F22" t="e">
            <v>#N/A</v>
          </cell>
          <cell r="G22" t="e">
            <v>#N/A</v>
          </cell>
          <cell r="H22" t="e">
            <v>#N/A</v>
          </cell>
          <cell r="I22" t="e">
            <v>#N/A</v>
          </cell>
          <cell r="L22">
            <v>2</v>
          </cell>
          <cell r="M22" t="e">
            <v>#N/A</v>
          </cell>
          <cell r="N22">
            <v>0</v>
          </cell>
          <cell r="O22">
            <v>0</v>
          </cell>
          <cell r="Q22" t="e">
            <v>#N/A</v>
          </cell>
          <cell r="R22" t="e">
            <v>#N/A</v>
          </cell>
          <cell r="U22" t="e">
            <v>#N/A</v>
          </cell>
          <cell r="V22" t="e">
            <v>#N/A</v>
          </cell>
          <cell r="W22">
            <v>28</v>
          </cell>
          <cell r="Y22">
            <v>28</v>
          </cell>
          <cell r="AB22">
            <v>46240</v>
          </cell>
        </row>
        <row r="23">
          <cell r="B23" t="e">
            <v>#N/A</v>
          </cell>
          <cell r="C23" t="e">
            <v>#N/A</v>
          </cell>
          <cell r="D23" t="str">
            <v>27-39100467-1</v>
          </cell>
          <cell r="E23">
            <v>46234</v>
          </cell>
          <cell r="F23" t="e">
            <v>#N/A</v>
          </cell>
          <cell r="G23" t="e">
            <v>#N/A</v>
          </cell>
          <cell r="H23" t="e">
            <v>#N/A</v>
          </cell>
          <cell r="I23" t="e">
            <v>#N/A</v>
          </cell>
          <cell r="K23">
            <v>0</v>
          </cell>
          <cell r="L23">
            <v>0</v>
          </cell>
          <cell r="M23" t="e">
            <v>#N/A</v>
          </cell>
          <cell r="N23">
            <v>0</v>
          </cell>
          <cell r="O23">
            <v>0</v>
          </cell>
          <cell r="Q23" t="e">
            <v>#N/A</v>
          </cell>
          <cell r="R23" t="e">
            <v>#N/A</v>
          </cell>
          <cell r="U23" t="e">
            <v>#N/A</v>
          </cell>
          <cell r="V23" t="e">
            <v>#N/A</v>
          </cell>
          <cell r="W23">
            <v>28</v>
          </cell>
          <cell r="Y23">
            <v>28</v>
          </cell>
          <cell r="AB23">
            <v>46240</v>
          </cell>
        </row>
        <row r="24">
          <cell r="B24" t="e">
            <v>#N/A</v>
          </cell>
          <cell r="C24" t="e">
            <v>#N/A</v>
          </cell>
          <cell r="D24" t="str">
            <v>27-26826206-2</v>
          </cell>
          <cell r="E24">
            <v>46234</v>
          </cell>
          <cell r="F24" t="e">
            <v>#N/A</v>
          </cell>
          <cell r="G24" t="e">
            <v>#N/A</v>
          </cell>
          <cell r="H24" t="e">
            <v>#N/A</v>
          </cell>
          <cell r="I24" t="e">
            <v>#N/A</v>
          </cell>
          <cell r="M24" t="e">
            <v>#N/A</v>
          </cell>
          <cell r="N24">
            <v>0</v>
          </cell>
          <cell r="O24">
            <v>0</v>
          </cell>
          <cell r="Q24" t="e">
            <v>#N/A</v>
          </cell>
          <cell r="R24" t="e">
            <v>#N/A</v>
          </cell>
          <cell r="U24" t="e">
            <v>#N/A</v>
          </cell>
          <cell r="V24" t="e">
            <v>#N/A</v>
          </cell>
          <cell r="W24">
            <v>28</v>
          </cell>
          <cell r="Y24">
            <v>28</v>
          </cell>
          <cell r="AB24">
            <v>46240</v>
          </cell>
        </row>
        <row r="25">
          <cell r="B25" t="e">
            <v>#N/A</v>
          </cell>
          <cell r="C25" t="e">
            <v>#N/A</v>
          </cell>
          <cell r="D25" t="str">
            <v>27-11245923-0</v>
          </cell>
          <cell r="E25">
            <v>46234</v>
          </cell>
          <cell r="F25" t="e">
            <v>#N/A</v>
          </cell>
          <cell r="G25" t="e">
            <v>#N/A</v>
          </cell>
          <cell r="H25" t="e">
            <v>#N/A</v>
          </cell>
          <cell r="I25" t="e">
            <v>#N/A</v>
          </cell>
          <cell r="M25" t="e">
            <v>#N/A</v>
          </cell>
          <cell r="N25">
            <v>0</v>
          </cell>
          <cell r="O25">
            <v>0</v>
          </cell>
          <cell r="Q25" t="e">
            <v>#N/A</v>
          </cell>
          <cell r="R25" t="e">
            <v>#N/A</v>
          </cell>
          <cell r="U25" t="e">
            <v>#N/A</v>
          </cell>
          <cell r="V25" t="e">
            <v>#N/A</v>
          </cell>
          <cell r="W25">
            <v>35</v>
          </cell>
          <cell r="Y25">
            <v>35</v>
          </cell>
          <cell r="AB25">
            <v>46240</v>
          </cell>
        </row>
        <row r="26">
          <cell r="B26" t="e">
            <v>#N/A</v>
          </cell>
          <cell r="C26" t="e">
            <v>#N/A</v>
          </cell>
          <cell r="D26" t="str">
            <v>27-17449052-5</v>
          </cell>
          <cell r="E26">
            <v>46234</v>
          </cell>
          <cell r="F26" t="e">
            <v>#N/A</v>
          </cell>
          <cell r="G26" t="e">
            <v>#N/A</v>
          </cell>
          <cell r="H26" t="e">
            <v>#N/A</v>
          </cell>
          <cell r="I26" t="e">
            <v>#N/A</v>
          </cell>
          <cell r="M26" t="e">
            <v>#N/A</v>
          </cell>
          <cell r="N26">
            <v>0</v>
          </cell>
          <cell r="O26">
            <v>0</v>
          </cell>
          <cell r="Q26" t="e">
            <v>#N/A</v>
          </cell>
          <cell r="R26" t="e">
            <v>#N/A</v>
          </cell>
          <cell r="U26" t="e">
            <v>#N/A</v>
          </cell>
          <cell r="V26" t="e">
            <v>#N/A</v>
          </cell>
          <cell r="W26">
            <v>14</v>
          </cell>
          <cell r="AB26">
            <v>46240</v>
          </cell>
        </row>
        <row r="27">
          <cell r="B27" t="e">
            <v>#N/A</v>
          </cell>
          <cell r="C27" t="e">
            <v>#N/A</v>
          </cell>
          <cell r="D27" t="str">
            <v>27-19156583-0</v>
          </cell>
          <cell r="E27">
            <v>46234</v>
          </cell>
          <cell r="F27" t="e">
            <v>#N/A</v>
          </cell>
          <cell r="G27" t="e">
            <v>#N/A</v>
          </cell>
          <cell r="H27" t="e">
            <v>#N/A</v>
          </cell>
          <cell r="I27" t="e">
            <v>#N/A</v>
          </cell>
          <cell r="M27" t="e">
            <v>#N/A</v>
          </cell>
          <cell r="N27">
            <v>0</v>
          </cell>
          <cell r="O27">
            <v>0</v>
          </cell>
          <cell r="Q27" t="e">
            <v>#N/A</v>
          </cell>
          <cell r="R27" t="e">
            <v>#N/A</v>
          </cell>
          <cell r="U27" t="e">
            <v>#N/A</v>
          </cell>
          <cell r="V27" t="e">
            <v>#N/A</v>
          </cell>
          <cell r="W27">
            <v>14</v>
          </cell>
          <cell r="Y27">
            <v>14</v>
          </cell>
          <cell r="AB27">
            <v>46240</v>
          </cell>
        </row>
        <row r="28">
          <cell r="B28" t="e">
            <v>#N/A</v>
          </cell>
          <cell r="C28" t="e">
            <v>#N/A</v>
          </cell>
          <cell r="D28" t="str">
            <v>23-23849357-9</v>
          </cell>
          <cell r="E28">
            <v>46234</v>
          </cell>
          <cell r="F28" t="e">
            <v>#N/A</v>
          </cell>
          <cell r="G28" t="e">
            <v>#N/A</v>
          </cell>
          <cell r="H28" t="e">
            <v>#N/A</v>
          </cell>
          <cell r="I28" t="e">
            <v>#N/A</v>
          </cell>
          <cell r="M28" t="e">
            <v>#N/A</v>
          </cell>
          <cell r="N28">
            <v>0</v>
          </cell>
          <cell r="O28">
            <v>0</v>
          </cell>
          <cell r="Q28" t="e">
            <v>#N/A</v>
          </cell>
          <cell r="R28" t="e">
            <v>#N/A</v>
          </cell>
          <cell r="U28" t="e">
            <v>#N/A</v>
          </cell>
          <cell r="V28" t="e">
            <v>#N/A</v>
          </cell>
          <cell r="W28">
            <v>14</v>
          </cell>
          <cell r="Y28">
            <v>14</v>
          </cell>
          <cell r="AB28">
            <v>46240</v>
          </cell>
        </row>
        <row r="29">
          <cell r="B29" t="e">
            <v>#N/A</v>
          </cell>
          <cell r="C29" t="e">
            <v>#N/A</v>
          </cell>
          <cell r="D29" t="str">
            <v>23-24822959-4</v>
          </cell>
          <cell r="E29">
            <v>46234</v>
          </cell>
          <cell r="F29" t="e">
            <v>#N/A</v>
          </cell>
          <cell r="G29" t="e">
            <v>#N/A</v>
          </cell>
          <cell r="H29" t="e">
            <v>#N/A</v>
          </cell>
          <cell r="I29" t="e">
            <v>#N/A</v>
          </cell>
          <cell r="M29" t="e">
            <v>#N/A</v>
          </cell>
          <cell r="N29">
            <v>0</v>
          </cell>
          <cell r="O29">
            <v>0</v>
          </cell>
          <cell r="Q29" t="e">
            <v>#N/A</v>
          </cell>
          <cell r="R29" t="e">
            <v>#N/A</v>
          </cell>
          <cell r="U29" t="e">
            <v>#N/A</v>
          </cell>
          <cell r="V29" t="e">
            <v>#N/A</v>
          </cell>
          <cell r="W29">
            <v>14</v>
          </cell>
          <cell r="Y29">
            <v>14</v>
          </cell>
          <cell r="AB29">
            <v>46240</v>
          </cell>
        </row>
        <row r="30">
          <cell r="B30" t="e">
            <v>#N/A</v>
          </cell>
          <cell r="C30" t="e">
            <v>#N/A</v>
          </cell>
          <cell r="D30" t="str">
            <v>20-23477778-6</v>
          </cell>
          <cell r="E30">
            <v>46234</v>
          </cell>
          <cell r="F30" t="e">
            <v>#N/A</v>
          </cell>
          <cell r="G30" t="e">
            <v>#N/A</v>
          </cell>
          <cell r="H30" t="e">
            <v>#N/A</v>
          </cell>
          <cell r="I30" t="e">
            <v>#N/A</v>
          </cell>
          <cell r="L30">
            <v>0</v>
          </cell>
          <cell r="M30" t="e">
            <v>#N/A</v>
          </cell>
          <cell r="N30">
            <v>0</v>
          </cell>
          <cell r="O30">
            <v>0</v>
          </cell>
          <cell r="Q30" t="e">
            <v>#N/A</v>
          </cell>
          <cell r="R30" t="e">
            <v>#N/A</v>
          </cell>
          <cell r="U30" t="e">
            <v>#N/A</v>
          </cell>
          <cell r="V30" t="e">
            <v>#N/A</v>
          </cell>
          <cell r="W30">
            <v>14</v>
          </cell>
          <cell r="Y30">
            <v>14</v>
          </cell>
          <cell r="AB30">
            <v>46240</v>
          </cell>
        </row>
        <row r="31">
          <cell r="B31" t="e">
            <v>#N/A</v>
          </cell>
          <cell r="C31" t="e">
            <v>#N/A</v>
          </cell>
          <cell r="D31" t="str">
            <v>23-34946896-4</v>
          </cell>
          <cell r="E31">
            <v>46234</v>
          </cell>
          <cell r="F31" t="e">
            <v>#N/A</v>
          </cell>
          <cell r="G31" t="e">
            <v>#N/A</v>
          </cell>
          <cell r="H31" t="e">
            <v>#N/A</v>
          </cell>
          <cell r="I31" t="e">
            <v>#N/A</v>
          </cell>
          <cell r="M31" t="e">
            <v>#N/A</v>
          </cell>
          <cell r="N31">
            <v>0</v>
          </cell>
          <cell r="O31">
            <v>0</v>
          </cell>
          <cell r="Q31" t="e">
            <v>#N/A</v>
          </cell>
          <cell r="R31" t="e">
            <v>#N/A</v>
          </cell>
          <cell r="U31" t="e">
            <v>#N/A</v>
          </cell>
          <cell r="V31" t="e">
            <v>#N/A</v>
          </cell>
          <cell r="W31">
            <v>21</v>
          </cell>
          <cell r="Y31">
            <v>21</v>
          </cell>
          <cell r="AB31">
            <v>46240</v>
          </cell>
        </row>
        <row r="32">
          <cell r="B32" t="e">
            <v>#N/A</v>
          </cell>
          <cell r="C32" t="e">
            <v>#N/A</v>
          </cell>
          <cell r="D32" t="str">
            <v>24-31774708-6</v>
          </cell>
          <cell r="E32">
            <v>46234</v>
          </cell>
          <cell r="F32" t="e">
            <v>#N/A</v>
          </cell>
          <cell r="G32" t="e">
            <v>#N/A</v>
          </cell>
          <cell r="H32" t="e">
            <v>#N/A</v>
          </cell>
          <cell r="I32" t="e">
            <v>#N/A</v>
          </cell>
          <cell r="M32" t="e">
            <v>#N/A</v>
          </cell>
          <cell r="N32">
            <v>0</v>
          </cell>
          <cell r="O32">
            <v>0</v>
          </cell>
          <cell r="Q32" t="e">
            <v>#N/A</v>
          </cell>
          <cell r="R32" t="e">
            <v>#N/A</v>
          </cell>
          <cell r="U32" t="e">
            <v>#N/A</v>
          </cell>
          <cell r="V32" t="e">
            <v>#N/A</v>
          </cell>
          <cell r="W32">
            <v>14</v>
          </cell>
          <cell r="Y32">
            <v>14</v>
          </cell>
          <cell r="AB32">
            <v>46240</v>
          </cell>
        </row>
        <row r="33">
          <cell r="B33" t="e">
            <v>#N/A</v>
          </cell>
          <cell r="C33" t="e">
            <v>#N/A</v>
          </cell>
          <cell r="D33" t="str">
            <v>27-32848652-6</v>
          </cell>
          <cell r="E33">
            <v>46234</v>
          </cell>
          <cell r="F33" t="e">
            <v>#N/A</v>
          </cell>
          <cell r="G33" t="e">
            <v>#N/A</v>
          </cell>
          <cell r="H33" t="e">
            <v>#N/A</v>
          </cell>
          <cell r="I33" t="e">
            <v>#N/A</v>
          </cell>
          <cell r="K33">
            <v>0</v>
          </cell>
          <cell r="M33" t="e">
            <v>#N/A</v>
          </cell>
          <cell r="N33">
            <v>0</v>
          </cell>
          <cell r="O33">
            <v>0</v>
          </cell>
          <cell r="Q33" t="e">
            <v>#N/A</v>
          </cell>
          <cell r="R33" t="e">
            <v>#N/A</v>
          </cell>
          <cell r="U33" t="e">
            <v>#N/A</v>
          </cell>
          <cell r="V33" t="e">
            <v>#N/A</v>
          </cell>
          <cell r="W33">
            <v>14</v>
          </cell>
          <cell r="Y33">
            <v>14</v>
          </cell>
          <cell r="AB33">
            <v>46240</v>
          </cell>
        </row>
        <row r="34">
          <cell r="B34" t="e">
            <v>#N/A</v>
          </cell>
          <cell r="C34" t="e">
            <v>#N/A</v>
          </cell>
          <cell r="D34" t="str">
            <v>27-37294334-9</v>
          </cell>
          <cell r="E34">
            <v>46234</v>
          </cell>
          <cell r="F34" t="e">
            <v>#N/A</v>
          </cell>
          <cell r="G34" t="e">
            <v>#N/A</v>
          </cell>
          <cell r="H34" t="e">
            <v>#N/A</v>
          </cell>
          <cell r="I34" t="e">
            <v>#N/A</v>
          </cell>
          <cell r="M34" t="e">
            <v>#N/A</v>
          </cell>
          <cell r="N34">
            <v>0</v>
          </cell>
          <cell r="O34">
            <v>0</v>
          </cell>
          <cell r="Q34" t="e">
            <v>#N/A</v>
          </cell>
          <cell r="R34" t="e">
            <v>#N/A</v>
          </cell>
          <cell r="U34" t="e">
            <v>#N/A</v>
          </cell>
          <cell r="V34" t="e">
            <v>#N/A</v>
          </cell>
          <cell r="W34">
            <v>5</v>
          </cell>
          <cell r="Y34">
            <v>5</v>
          </cell>
          <cell r="AB34">
            <v>46240</v>
          </cell>
        </row>
        <row r="35">
          <cell r="B35" t="e">
            <v>#N/A</v>
          </cell>
          <cell r="C35" t="e">
            <v>#N/A</v>
          </cell>
          <cell r="D35" t="str">
            <v>27-44180106-3</v>
          </cell>
          <cell r="E35">
            <v>46234</v>
          </cell>
          <cell r="F35" t="e">
            <v>#N/A</v>
          </cell>
          <cell r="G35" t="e">
            <v>#N/A</v>
          </cell>
          <cell r="H35" t="e">
            <v>#N/A</v>
          </cell>
          <cell r="I35" t="e">
            <v>#N/A</v>
          </cell>
          <cell r="K35">
            <v>0</v>
          </cell>
          <cell r="M35" t="e">
            <v>#N/A</v>
          </cell>
          <cell r="N35">
            <v>0</v>
          </cell>
          <cell r="O35">
            <v>0</v>
          </cell>
          <cell r="Q35" t="e">
            <v>#N/A</v>
          </cell>
          <cell r="R35" t="e">
            <v>#N/A</v>
          </cell>
          <cell r="U35" t="e">
            <v>#N/A</v>
          </cell>
          <cell r="V35" t="e">
            <v>#N/A</v>
          </cell>
          <cell r="W35">
            <v>5</v>
          </cell>
          <cell r="Y35">
            <v>5</v>
          </cell>
          <cell r="AB35">
            <v>46240</v>
          </cell>
        </row>
        <row r="36">
          <cell r="B36" t="e">
            <v>#N/A</v>
          </cell>
          <cell r="C36" t="e">
            <v>#N/A</v>
          </cell>
          <cell r="D36" t="str">
            <v>20-33509299-7</v>
          </cell>
          <cell r="E36">
            <v>46234</v>
          </cell>
          <cell r="F36" t="e">
            <v>#N/A</v>
          </cell>
          <cell r="G36" t="e">
            <v>#N/A</v>
          </cell>
          <cell r="H36" t="e">
            <v>#N/A</v>
          </cell>
          <cell r="I36" t="e">
            <v>#N/A</v>
          </cell>
          <cell r="K36">
            <v>0</v>
          </cell>
          <cell r="L36">
            <v>4</v>
          </cell>
          <cell r="M36" t="e">
            <v>#N/A</v>
          </cell>
          <cell r="N36">
            <v>0</v>
          </cell>
          <cell r="O36">
            <v>0</v>
          </cell>
          <cell r="Q36" t="e">
            <v>#N/A</v>
          </cell>
          <cell r="R36" t="e">
            <v>#N/A</v>
          </cell>
          <cell r="U36" t="e">
            <v>#N/A</v>
          </cell>
          <cell r="V36" t="e">
            <v>#N/A</v>
          </cell>
          <cell r="W36">
            <v>14</v>
          </cell>
          <cell r="Y36">
            <v>14</v>
          </cell>
          <cell r="AB36">
            <v>46240</v>
          </cell>
        </row>
        <row r="37">
          <cell r="B37" t="str">
            <v>MARCOS</v>
          </cell>
          <cell r="C37">
            <v>21</v>
          </cell>
          <cell r="D37" t="str">
            <v>27-39290843-4</v>
          </cell>
          <cell r="E37">
            <v>46234</v>
          </cell>
          <cell r="F37" t="str">
            <v>Administrativo</v>
          </cell>
          <cell r="G37">
            <v>46054</v>
          </cell>
          <cell r="H37">
            <v>900000</v>
          </cell>
          <cell r="I37">
            <v>0</v>
          </cell>
          <cell r="K37">
            <v>0</v>
          </cell>
          <cell r="M37">
            <v>8</v>
          </cell>
          <cell r="N37">
            <v>0</v>
          </cell>
          <cell r="O37">
            <v>0</v>
          </cell>
          <cell r="Q37">
            <v>0</v>
          </cell>
          <cell r="R37" t="str">
            <v>AVALIAN</v>
          </cell>
          <cell r="U37">
            <v>1229609.6385542168</v>
          </cell>
          <cell r="V37">
            <v>1020576</v>
          </cell>
          <cell r="W37">
            <v>0</v>
          </cell>
          <cell r="Y37">
            <v>14</v>
          </cell>
          <cell r="AB37">
            <v>46240</v>
          </cell>
        </row>
        <row r="38">
          <cell r="B38" t="e">
            <v>#N/A</v>
          </cell>
          <cell r="C38" t="e">
            <v>#N/A</v>
          </cell>
          <cell r="D38" t="str">
            <v>27-32320876-5</v>
          </cell>
          <cell r="E38">
            <v>46234</v>
          </cell>
          <cell r="F38" t="e">
            <v>#N/A</v>
          </cell>
          <cell r="G38" t="e">
            <v>#N/A</v>
          </cell>
          <cell r="H38" t="e">
            <v>#N/A</v>
          </cell>
          <cell r="I38" t="e">
            <v>#N/A</v>
          </cell>
          <cell r="M38" t="e">
            <v>#N/A</v>
          </cell>
          <cell r="N38">
            <v>0</v>
          </cell>
          <cell r="O38">
            <v>0</v>
          </cell>
          <cell r="Q38" t="e">
            <v>#N/A</v>
          </cell>
          <cell r="R38" t="e">
            <v>#N/A</v>
          </cell>
          <cell r="U38" t="e">
            <v>#N/A</v>
          </cell>
          <cell r="V38" t="e">
            <v>#N/A</v>
          </cell>
          <cell r="W38">
            <v>0</v>
          </cell>
          <cell r="AB38">
            <v>46240</v>
          </cell>
        </row>
        <row r="39">
          <cell r="B39">
            <v>0</v>
          </cell>
          <cell r="C39">
            <v>200</v>
          </cell>
          <cell r="D39">
            <v>39</v>
          </cell>
          <cell r="E39">
            <v>46234</v>
          </cell>
          <cell r="F39" t="str">
            <v>Sin empleados</v>
          </cell>
          <cell r="G39">
            <v>0</v>
          </cell>
          <cell r="H39">
            <v>0</v>
          </cell>
          <cell r="I39">
            <v>126</v>
          </cell>
          <cell r="M39">
            <v>8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U39">
            <v>0</v>
          </cell>
          <cell r="V39">
            <v>0</v>
          </cell>
          <cell r="AB39">
            <v>46240</v>
          </cell>
        </row>
        <row r="40">
          <cell r="B40">
            <v>0</v>
          </cell>
          <cell r="C40">
            <v>200</v>
          </cell>
          <cell r="D40">
            <v>40</v>
          </cell>
          <cell r="E40">
            <v>46234</v>
          </cell>
          <cell r="F40" t="str">
            <v>Sin empleados</v>
          </cell>
          <cell r="G40">
            <v>0</v>
          </cell>
          <cell r="H40">
            <v>0</v>
          </cell>
          <cell r="I40">
            <v>126</v>
          </cell>
          <cell r="M40">
            <v>8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AB40">
            <v>46240</v>
          </cell>
        </row>
        <row r="41">
          <cell r="B41">
            <v>0</v>
          </cell>
          <cell r="C41">
            <v>200</v>
          </cell>
          <cell r="D41">
            <v>41</v>
          </cell>
          <cell r="E41">
            <v>46234</v>
          </cell>
          <cell r="F41" t="str">
            <v>Sin empleados</v>
          </cell>
          <cell r="G41">
            <v>0</v>
          </cell>
          <cell r="H41">
            <v>0</v>
          </cell>
          <cell r="I41">
            <v>126</v>
          </cell>
          <cell r="M41">
            <v>8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AB41">
            <v>46240</v>
          </cell>
        </row>
        <row r="50">
          <cell r="J50">
            <v>0</v>
          </cell>
        </row>
        <row r="51">
          <cell r="B51" t="e">
            <v>#N/A</v>
          </cell>
          <cell r="C51" t="e">
            <v>#N/A</v>
          </cell>
          <cell r="D51" t="e">
            <v>#N/A</v>
          </cell>
          <cell r="G51" t="e">
            <v>#N/A</v>
          </cell>
          <cell r="H51" t="e">
            <v>#N/A</v>
          </cell>
          <cell r="J51" t="e">
            <v>#N/A</v>
          </cell>
          <cell r="M51" t="e">
            <v>#N/A</v>
          </cell>
          <cell r="N51" t="e">
            <v>#N/A</v>
          </cell>
          <cell r="O51">
            <v>0</v>
          </cell>
          <cell r="AA51" t="e">
            <v>#N/A</v>
          </cell>
          <cell r="AB51" t="e">
            <v>#N/A</v>
          </cell>
          <cell r="AC51" t="e">
            <v>#N/A</v>
          </cell>
          <cell r="AE51" t="e">
            <v>#N/A</v>
          </cell>
          <cell r="AG51" t="str">
            <v>20-14364387-6</v>
          </cell>
          <cell r="AH51" t="e">
            <v>#N/A</v>
          </cell>
          <cell r="AI51">
            <v>0</v>
          </cell>
          <cell r="AK51" t="e">
            <v>#N/A</v>
          </cell>
          <cell r="AL51">
            <v>0</v>
          </cell>
          <cell r="AM51" t="e">
            <v>#N/A</v>
          </cell>
          <cell r="AN51">
            <v>0</v>
          </cell>
          <cell r="AO51" t="e">
            <v>#N/A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e">
            <v>#N/A</v>
          </cell>
          <cell r="C52" t="e">
            <v>#N/A</v>
          </cell>
          <cell r="D52" t="e">
            <v>#N/A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M52" t="e">
            <v>#N/A</v>
          </cell>
          <cell r="N52" t="e">
            <v>#N/A</v>
          </cell>
          <cell r="O52">
            <v>0</v>
          </cell>
          <cell r="AA52" t="e">
            <v>#N/A</v>
          </cell>
          <cell r="AB52" t="e">
            <v>#N/A</v>
          </cell>
          <cell r="AC52" t="e">
            <v>#N/A</v>
          </cell>
          <cell r="AE52" t="e">
            <v>#N/A</v>
          </cell>
          <cell r="AG52" t="str">
            <v>20-17969460-4</v>
          </cell>
          <cell r="AH52" t="e">
            <v>#N/A</v>
          </cell>
          <cell r="AI52">
            <v>0</v>
          </cell>
          <cell r="AK52" t="e">
            <v>#N/A</v>
          </cell>
          <cell r="AL52">
            <v>0</v>
          </cell>
          <cell r="AM52" t="e">
            <v>#N/A</v>
          </cell>
          <cell r="AN52">
            <v>0</v>
          </cell>
          <cell r="AO52" t="e">
            <v>#N/A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e">
            <v>#N/A</v>
          </cell>
          <cell r="C53" t="e">
            <v>#N/A</v>
          </cell>
          <cell r="D53" t="e">
            <v>#N/A</v>
          </cell>
          <cell r="E53" t="e">
            <v>#N/A</v>
          </cell>
          <cell r="G53" t="e">
            <v>#N/A</v>
          </cell>
          <cell r="H53" t="e">
            <v>#N/A</v>
          </cell>
          <cell r="I53" t="e">
            <v>#N/A</v>
          </cell>
          <cell r="J53" t="e">
            <v>#N/A</v>
          </cell>
          <cell r="M53" t="e">
            <v>#N/A</v>
          </cell>
          <cell r="N53" t="e">
            <v>#N/A</v>
          </cell>
          <cell r="O53">
            <v>0</v>
          </cell>
          <cell r="AA53" t="e">
            <v>#N/A</v>
          </cell>
          <cell r="AB53" t="e">
            <v>#N/A</v>
          </cell>
          <cell r="AC53" t="e">
            <v>#N/A</v>
          </cell>
          <cell r="AE53" t="e">
            <v>#N/A</v>
          </cell>
          <cell r="AG53" t="str">
            <v>20-31160491-1</v>
          </cell>
          <cell r="AH53" t="e">
            <v>#N/A</v>
          </cell>
          <cell r="AI53">
            <v>0</v>
          </cell>
          <cell r="AK53" t="e">
            <v>#N/A</v>
          </cell>
          <cell r="AL53">
            <v>0</v>
          </cell>
          <cell r="AM53" t="e">
            <v>#N/A</v>
          </cell>
          <cell r="AN53">
            <v>0</v>
          </cell>
          <cell r="AO53" t="e">
            <v>#N/A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e">
            <v>#N/A</v>
          </cell>
          <cell r="C54" t="e">
            <v>#N/A</v>
          </cell>
          <cell r="D54" t="e">
            <v>#N/A</v>
          </cell>
          <cell r="E54" t="e">
            <v>#N/A</v>
          </cell>
          <cell r="G54" t="e">
            <v>#N/A</v>
          </cell>
          <cell r="H54" t="e">
            <v>#N/A</v>
          </cell>
          <cell r="I54" t="e">
            <v>#N/A</v>
          </cell>
          <cell r="J54" t="e">
            <v>#N/A</v>
          </cell>
          <cell r="M54" t="e">
            <v>#N/A</v>
          </cell>
          <cell r="N54" t="e">
            <v>#N/A</v>
          </cell>
          <cell r="O54">
            <v>0</v>
          </cell>
          <cell r="AA54" t="e">
            <v>#N/A</v>
          </cell>
          <cell r="AB54" t="e">
            <v>#N/A</v>
          </cell>
          <cell r="AC54" t="e">
            <v>#N/A</v>
          </cell>
          <cell r="AE54" t="e">
            <v>#N/A</v>
          </cell>
          <cell r="AG54" t="str">
            <v>27-20294916-4</v>
          </cell>
          <cell r="AH54" t="e">
            <v>#N/A</v>
          </cell>
          <cell r="AI54">
            <v>0</v>
          </cell>
          <cell r="AK54" t="e">
            <v>#N/A</v>
          </cell>
          <cell r="AL54">
            <v>0</v>
          </cell>
          <cell r="AM54" t="e">
            <v>#N/A</v>
          </cell>
          <cell r="AN54">
            <v>0</v>
          </cell>
          <cell r="AO54" t="e">
            <v>#N/A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e">
            <v>#N/A</v>
          </cell>
          <cell r="C55" t="e">
            <v>#N/A</v>
          </cell>
          <cell r="D55" t="e">
            <v>#N/A</v>
          </cell>
          <cell r="E55" t="e">
            <v>#N/A</v>
          </cell>
          <cell r="G55" t="e">
            <v>#N/A</v>
          </cell>
          <cell r="H55" t="e">
            <v>#N/A</v>
          </cell>
          <cell r="I55" t="e">
            <v>#N/A</v>
          </cell>
          <cell r="J55" t="e">
            <v>#N/A</v>
          </cell>
          <cell r="M55" t="e">
            <v>#N/A</v>
          </cell>
          <cell r="N55" t="e">
            <v>#N/A</v>
          </cell>
          <cell r="O55">
            <v>0</v>
          </cell>
          <cell r="AA55" t="e">
            <v>#N/A</v>
          </cell>
          <cell r="AB55" t="e">
            <v>#N/A</v>
          </cell>
          <cell r="AC55" t="e">
            <v>#N/A</v>
          </cell>
          <cell r="AE55" t="e">
            <v>#N/A</v>
          </cell>
          <cell r="AG55" t="str">
            <v>20-19115865-3</v>
          </cell>
          <cell r="AH55" t="e">
            <v>#N/A</v>
          </cell>
          <cell r="AI55">
            <v>0</v>
          </cell>
          <cell r="AK55" t="e">
            <v>#N/A</v>
          </cell>
          <cell r="AL55">
            <v>0</v>
          </cell>
          <cell r="AM55" t="e">
            <v>#N/A</v>
          </cell>
          <cell r="AN55">
            <v>0</v>
          </cell>
          <cell r="AO55" t="e">
            <v>#N/A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e">
            <v>#N/A</v>
          </cell>
          <cell r="C56" t="e">
            <v>#N/A</v>
          </cell>
          <cell r="D56" t="e">
            <v>#N/A</v>
          </cell>
          <cell r="E56" t="e">
            <v>#N/A</v>
          </cell>
          <cell r="G56" t="e">
            <v>#N/A</v>
          </cell>
          <cell r="H56" t="e">
            <v>#N/A</v>
          </cell>
          <cell r="I56" t="e">
            <v>#N/A</v>
          </cell>
          <cell r="J56" t="e">
            <v>#N/A</v>
          </cell>
          <cell r="M56" t="e">
            <v>#N/A</v>
          </cell>
          <cell r="N56" t="e">
            <v>#N/A</v>
          </cell>
          <cell r="O56">
            <v>0</v>
          </cell>
          <cell r="AA56" t="e">
            <v>#N/A</v>
          </cell>
          <cell r="AB56" t="e">
            <v>#N/A</v>
          </cell>
          <cell r="AC56" t="e">
            <v>#N/A</v>
          </cell>
          <cell r="AE56" t="e">
            <v>#N/A</v>
          </cell>
          <cell r="AG56" t="str">
            <v>20-27728247-0</v>
          </cell>
          <cell r="AH56" t="e">
            <v>#N/A</v>
          </cell>
          <cell r="AI56">
            <v>0</v>
          </cell>
          <cell r="AK56" t="e">
            <v>#N/A</v>
          </cell>
          <cell r="AL56">
            <v>0</v>
          </cell>
          <cell r="AM56" t="e">
            <v>#N/A</v>
          </cell>
          <cell r="AN56">
            <v>0</v>
          </cell>
          <cell r="AO56" t="e">
            <v>#N/A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e">
            <v>#N/A</v>
          </cell>
          <cell r="C57" t="e">
            <v>#N/A</v>
          </cell>
          <cell r="D57" t="e">
            <v>#N/A</v>
          </cell>
          <cell r="E57" t="e">
            <v>#N/A</v>
          </cell>
          <cell r="G57" t="e">
            <v>#N/A</v>
          </cell>
          <cell r="H57" t="e">
            <v>#N/A</v>
          </cell>
          <cell r="I57" t="e">
            <v>#N/A</v>
          </cell>
          <cell r="J57" t="e">
            <v>#N/A</v>
          </cell>
          <cell r="M57" t="e">
            <v>#N/A</v>
          </cell>
          <cell r="N57" t="e">
            <v>#N/A</v>
          </cell>
          <cell r="O57">
            <v>0</v>
          </cell>
          <cell r="AA57" t="e">
            <v>#N/A</v>
          </cell>
          <cell r="AB57" t="e">
            <v>#N/A</v>
          </cell>
          <cell r="AC57" t="e">
            <v>#N/A</v>
          </cell>
          <cell r="AE57" t="e">
            <v>#N/A</v>
          </cell>
          <cell r="AG57" t="str">
            <v>23-21574538-4</v>
          </cell>
          <cell r="AH57" t="e">
            <v>#N/A</v>
          </cell>
          <cell r="AI57">
            <v>0</v>
          </cell>
          <cell r="AK57" t="e">
            <v>#N/A</v>
          </cell>
          <cell r="AL57">
            <v>0</v>
          </cell>
          <cell r="AM57" t="e">
            <v>#N/A</v>
          </cell>
          <cell r="AN57">
            <v>0</v>
          </cell>
          <cell r="AO57" t="e">
            <v>#N/A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e">
            <v>#N/A</v>
          </cell>
          <cell r="C58" t="e">
            <v>#N/A</v>
          </cell>
          <cell r="D58" t="e">
            <v>#N/A</v>
          </cell>
          <cell r="E58" t="e">
            <v>#N/A</v>
          </cell>
          <cell r="G58" t="e">
            <v>#N/A</v>
          </cell>
          <cell r="H58" t="e">
            <v>#N/A</v>
          </cell>
          <cell r="I58" t="e">
            <v>#N/A</v>
          </cell>
          <cell r="J58" t="e">
            <v>#N/A</v>
          </cell>
          <cell r="M58" t="e">
            <v>#N/A</v>
          </cell>
          <cell r="N58" t="e">
            <v>#N/A</v>
          </cell>
          <cell r="O58">
            <v>0</v>
          </cell>
          <cell r="AA58" t="e">
            <v>#N/A</v>
          </cell>
          <cell r="AB58" t="e">
            <v>#N/A</v>
          </cell>
          <cell r="AC58" t="e">
            <v>#N/A</v>
          </cell>
          <cell r="AE58" t="e">
            <v>#N/A</v>
          </cell>
          <cell r="AG58" t="str">
            <v>27-17205841-3</v>
          </cell>
          <cell r="AH58" t="e">
            <v>#N/A</v>
          </cell>
          <cell r="AI58">
            <v>0</v>
          </cell>
          <cell r="AK58" t="e">
            <v>#N/A</v>
          </cell>
          <cell r="AL58">
            <v>0</v>
          </cell>
          <cell r="AM58" t="e">
            <v>#N/A</v>
          </cell>
          <cell r="AN58">
            <v>0</v>
          </cell>
          <cell r="AO58" t="e">
            <v>#N/A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e">
            <v>#N/A</v>
          </cell>
          <cell r="C59" t="e">
            <v>#N/A</v>
          </cell>
          <cell r="D59" t="e">
            <v>#N/A</v>
          </cell>
          <cell r="E59" t="e">
            <v>#N/A</v>
          </cell>
          <cell r="G59" t="e">
            <v>#N/A</v>
          </cell>
          <cell r="H59" t="e">
            <v>#N/A</v>
          </cell>
          <cell r="I59" t="e">
            <v>#N/A</v>
          </cell>
          <cell r="J59" t="e">
            <v>#N/A</v>
          </cell>
          <cell r="M59" t="e">
            <v>#N/A</v>
          </cell>
          <cell r="N59" t="e">
            <v>#N/A</v>
          </cell>
          <cell r="O59">
            <v>0</v>
          </cell>
          <cell r="AA59" t="e">
            <v>#N/A</v>
          </cell>
          <cell r="AB59" t="e">
            <v>#N/A</v>
          </cell>
          <cell r="AC59" t="e">
            <v>#N/A</v>
          </cell>
          <cell r="AE59" t="e">
            <v>#N/A</v>
          </cell>
          <cell r="AG59" t="str">
            <v>27-27634746-8</v>
          </cell>
          <cell r="AH59" t="e">
            <v>#N/A</v>
          </cell>
          <cell r="AI59">
            <v>0</v>
          </cell>
          <cell r="AK59" t="e">
            <v>#N/A</v>
          </cell>
          <cell r="AL59">
            <v>0</v>
          </cell>
          <cell r="AM59" t="e">
            <v>#N/A</v>
          </cell>
          <cell r="AN59">
            <v>0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e">
            <v>#N/A</v>
          </cell>
          <cell r="C60" t="e">
            <v>#N/A</v>
          </cell>
          <cell r="D60" t="e">
            <v>#N/A</v>
          </cell>
          <cell r="E60" t="e">
            <v>#N/A</v>
          </cell>
          <cell r="G60" t="e">
            <v>#N/A</v>
          </cell>
          <cell r="H60" t="e">
            <v>#N/A</v>
          </cell>
          <cell r="I60" t="e">
            <v>#N/A</v>
          </cell>
          <cell r="J60" t="e">
            <v>#N/A</v>
          </cell>
          <cell r="M60" t="e">
            <v>#N/A</v>
          </cell>
          <cell r="N60" t="e">
            <v>#N/A</v>
          </cell>
          <cell r="O60">
            <v>0</v>
          </cell>
          <cell r="AA60" t="e">
            <v>#N/A</v>
          </cell>
          <cell r="AB60" t="e">
            <v>#N/A</v>
          </cell>
          <cell r="AC60" t="e">
            <v>#N/A</v>
          </cell>
          <cell r="AE60" t="e">
            <v>#N/A</v>
          </cell>
          <cell r="AG60" t="str">
            <v>20-30546052-5</v>
          </cell>
          <cell r="AH60" t="e">
            <v>#N/A</v>
          </cell>
          <cell r="AI60">
            <v>0</v>
          </cell>
          <cell r="AK60" t="e">
            <v>#N/A</v>
          </cell>
          <cell r="AL60">
            <v>0</v>
          </cell>
          <cell r="AM60" t="e">
            <v>#N/A</v>
          </cell>
          <cell r="AN60">
            <v>0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e">
            <v>#N/A</v>
          </cell>
          <cell r="C61" t="e">
            <v>#N/A</v>
          </cell>
          <cell r="D61" t="e">
            <v>#N/A</v>
          </cell>
          <cell r="E61" t="e">
            <v>#N/A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M61" t="e">
            <v>#N/A</v>
          </cell>
          <cell r="N61" t="e">
            <v>#N/A</v>
          </cell>
          <cell r="O61">
            <v>0</v>
          </cell>
          <cell r="AA61" t="e">
            <v>#N/A</v>
          </cell>
          <cell r="AB61" t="e">
            <v>#N/A</v>
          </cell>
          <cell r="AC61" t="e">
            <v>#N/A</v>
          </cell>
          <cell r="AE61" t="e">
            <v>#N/A</v>
          </cell>
          <cell r="AG61" t="str">
            <v>27-28304545-0</v>
          </cell>
          <cell r="AH61" t="e">
            <v>#N/A</v>
          </cell>
          <cell r="AI61">
            <v>0</v>
          </cell>
          <cell r="AK61" t="e">
            <v>#N/A</v>
          </cell>
          <cell r="AL61">
            <v>0</v>
          </cell>
          <cell r="AM61" t="e">
            <v>#N/A</v>
          </cell>
          <cell r="AN61">
            <v>0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e">
            <v>#N/A</v>
          </cell>
          <cell r="C62" t="e">
            <v>#N/A</v>
          </cell>
          <cell r="D62" t="e">
            <v>#N/A</v>
          </cell>
          <cell r="E62" t="e">
            <v>#N/A</v>
          </cell>
          <cell r="G62" t="e">
            <v>#N/A</v>
          </cell>
          <cell r="H62" t="e">
            <v>#N/A</v>
          </cell>
          <cell r="I62" t="e">
            <v>#N/A</v>
          </cell>
          <cell r="J62" t="e">
            <v>#N/A</v>
          </cell>
          <cell r="M62" t="e">
            <v>#N/A</v>
          </cell>
          <cell r="N62" t="e">
            <v>#N/A</v>
          </cell>
          <cell r="O62">
            <v>0</v>
          </cell>
          <cell r="AA62" t="e">
            <v>#N/A</v>
          </cell>
          <cell r="AB62" t="e">
            <v>#N/A</v>
          </cell>
          <cell r="AC62" t="e">
            <v>#N/A</v>
          </cell>
          <cell r="AE62" t="e">
            <v>#N/A</v>
          </cell>
          <cell r="AG62" t="str">
            <v>20-19116626-5</v>
          </cell>
          <cell r="AH62" t="e">
            <v>#N/A</v>
          </cell>
          <cell r="AI62">
            <v>0</v>
          </cell>
          <cell r="AK62" t="e">
            <v>#N/A</v>
          </cell>
          <cell r="AL62">
            <v>0</v>
          </cell>
          <cell r="AM62" t="e">
            <v>#N/A</v>
          </cell>
          <cell r="AN62">
            <v>0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e">
            <v>#N/A</v>
          </cell>
          <cell r="C63" t="e">
            <v>#N/A</v>
          </cell>
          <cell r="D63" t="e">
            <v>#N/A</v>
          </cell>
          <cell r="E63" t="e">
            <v>#N/A</v>
          </cell>
          <cell r="G63" t="e">
            <v>#N/A</v>
          </cell>
          <cell r="H63" t="e">
            <v>#N/A</v>
          </cell>
          <cell r="I63" t="e">
            <v>#N/A</v>
          </cell>
          <cell r="J63" t="e">
            <v>#N/A</v>
          </cell>
          <cell r="M63" t="e">
            <v>#N/A</v>
          </cell>
          <cell r="N63" t="e">
            <v>#N/A</v>
          </cell>
          <cell r="O63">
            <v>0</v>
          </cell>
          <cell r="AA63" t="e">
            <v>#N/A</v>
          </cell>
          <cell r="AB63" t="e">
            <v>#N/A</v>
          </cell>
          <cell r="AC63" t="e">
            <v>#N/A</v>
          </cell>
          <cell r="AE63" t="e">
            <v>#N/A</v>
          </cell>
          <cell r="AG63" t="str">
            <v>27-39100467-1</v>
          </cell>
          <cell r="AH63" t="e">
            <v>#N/A</v>
          </cell>
          <cell r="AI63">
            <v>0</v>
          </cell>
          <cell r="AK63" t="e">
            <v>#N/A</v>
          </cell>
          <cell r="AL63">
            <v>0</v>
          </cell>
          <cell r="AM63" t="e">
            <v>#N/A</v>
          </cell>
          <cell r="AN63">
            <v>0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e">
            <v>#N/A</v>
          </cell>
          <cell r="C64" t="e">
            <v>#N/A</v>
          </cell>
          <cell r="D64" t="e">
            <v>#N/A</v>
          </cell>
          <cell r="E64" t="e">
            <v>#N/A</v>
          </cell>
          <cell r="G64" t="e">
            <v>#N/A</v>
          </cell>
          <cell r="H64" t="e">
            <v>#N/A</v>
          </cell>
          <cell r="I64" t="e">
            <v>#N/A</v>
          </cell>
          <cell r="J64" t="e">
            <v>#N/A</v>
          </cell>
          <cell r="M64" t="e">
            <v>#N/A</v>
          </cell>
          <cell r="N64" t="e">
            <v>#N/A</v>
          </cell>
          <cell r="O64">
            <v>0</v>
          </cell>
          <cell r="AA64" t="e">
            <v>#N/A</v>
          </cell>
          <cell r="AB64" t="e">
            <v>#N/A</v>
          </cell>
          <cell r="AC64" t="e">
            <v>#N/A</v>
          </cell>
          <cell r="AE64" t="e">
            <v>#N/A</v>
          </cell>
          <cell r="AG64" t="str">
            <v>27-26826206-2</v>
          </cell>
          <cell r="AH64" t="e">
            <v>#N/A</v>
          </cell>
          <cell r="AI64">
            <v>0</v>
          </cell>
          <cell r="AK64" t="e">
            <v>#N/A</v>
          </cell>
          <cell r="AL64">
            <v>0</v>
          </cell>
          <cell r="AM64" t="e">
            <v>#N/A</v>
          </cell>
          <cell r="AN64">
            <v>0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e">
            <v>#N/A</v>
          </cell>
          <cell r="C65" t="e">
            <v>#N/A</v>
          </cell>
          <cell r="D65" t="e">
            <v>#N/A</v>
          </cell>
          <cell r="E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M65" t="e">
            <v>#N/A</v>
          </cell>
          <cell r="N65" t="e">
            <v>#N/A</v>
          </cell>
          <cell r="O65">
            <v>0</v>
          </cell>
          <cell r="AA65" t="e">
            <v>#N/A</v>
          </cell>
          <cell r="AB65" t="e">
            <v>#N/A</v>
          </cell>
          <cell r="AC65" t="e">
            <v>#N/A</v>
          </cell>
          <cell r="AE65" t="e">
            <v>#N/A</v>
          </cell>
          <cell r="AG65" t="str">
            <v>27-11245923-0</v>
          </cell>
          <cell r="AH65" t="e">
            <v>#N/A</v>
          </cell>
          <cell r="AI65">
            <v>0</v>
          </cell>
          <cell r="AK65" t="e">
            <v>#N/A</v>
          </cell>
          <cell r="AL65">
            <v>0</v>
          </cell>
          <cell r="AM65" t="e">
            <v>#N/A</v>
          </cell>
          <cell r="AN65">
            <v>0</v>
          </cell>
          <cell r="AO65" t="e">
            <v>#N/A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e">
            <v>#N/A</v>
          </cell>
          <cell r="C66" t="e">
            <v>#N/A</v>
          </cell>
          <cell r="D66" t="e">
            <v>#N/A</v>
          </cell>
          <cell r="E66" t="e">
            <v>#N/A</v>
          </cell>
          <cell r="G66" t="e">
            <v>#N/A</v>
          </cell>
          <cell r="H66" t="e">
            <v>#N/A</v>
          </cell>
          <cell r="I66" t="e">
            <v>#N/A</v>
          </cell>
          <cell r="J66" t="e">
            <v>#N/A</v>
          </cell>
          <cell r="M66" t="e">
            <v>#N/A</v>
          </cell>
          <cell r="N66" t="e">
            <v>#N/A</v>
          </cell>
          <cell r="O66">
            <v>0</v>
          </cell>
          <cell r="AA66" t="e">
            <v>#N/A</v>
          </cell>
          <cell r="AB66" t="e">
            <v>#N/A</v>
          </cell>
          <cell r="AC66" t="e">
            <v>#N/A</v>
          </cell>
          <cell r="AE66" t="e">
            <v>#N/A</v>
          </cell>
          <cell r="AG66" t="str">
            <v>27-17449052-5</v>
          </cell>
          <cell r="AH66" t="e">
            <v>#N/A</v>
          </cell>
          <cell r="AI66">
            <v>0</v>
          </cell>
          <cell r="AK66" t="e">
            <v>#N/A</v>
          </cell>
          <cell r="AL66">
            <v>0</v>
          </cell>
          <cell r="AM66" t="e">
            <v>#N/A</v>
          </cell>
          <cell r="AN66">
            <v>0</v>
          </cell>
          <cell r="AO66" t="e">
            <v>#N/A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e">
            <v>#N/A</v>
          </cell>
          <cell r="C67" t="e">
            <v>#N/A</v>
          </cell>
          <cell r="D67" t="e">
            <v>#N/A</v>
          </cell>
          <cell r="E67" t="e">
            <v>#N/A</v>
          </cell>
          <cell r="G67" t="e">
            <v>#N/A</v>
          </cell>
          <cell r="H67" t="e">
            <v>#N/A</v>
          </cell>
          <cell r="I67" t="e">
            <v>#N/A</v>
          </cell>
          <cell r="J67" t="e">
            <v>#N/A</v>
          </cell>
          <cell r="M67" t="e">
            <v>#N/A</v>
          </cell>
          <cell r="N67" t="e">
            <v>#N/A</v>
          </cell>
          <cell r="O67">
            <v>0</v>
          </cell>
          <cell r="AA67" t="e">
            <v>#N/A</v>
          </cell>
          <cell r="AB67" t="e">
            <v>#N/A</v>
          </cell>
          <cell r="AC67" t="e">
            <v>#N/A</v>
          </cell>
          <cell r="AE67" t="e">
            <v>#N/A</v>
          </cell>
          <cell r="AG67" t="str">
            <v>27-19156583-0</v>
          </cell>
          <cell r="AH67" t="e">
            <v>#N/A</v>
          </cell>
          <cell r="AI67">
            <v>0</v>
          </cell>
          <cell r="AK67" t="e">
            <v>#N/A</v>
          </cell>
          <cell r="AL67">
            <v>0</v>
          </cell>
          <cell r="AM67" t="e">
            <v>#N/A</v>
          </cell>
          <cell r="AN67">
            <v>0</v>
          </cell>
          <cell r="AO67" t="e">
            <v>#N/A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e">
            <v>#N/A</v>
          </cell>
          <cell r="C68" t="e">
            <v>#N/A</v>
          </cell>
          <cell r="D68" t="e">
            <v>#N/A</v>
          </cell>
          <cell r="E68" t="e">
            <v>#N/A</v>
          </cell>
          <cell r="G68" t="e">
            <v>#N/A</v>
          </cell>
          <cell r="H68" t="e">
            <v>#N/A</v>
          </cell>
          <cell r="I68" t="e">
            <v>#N/A</v>
          </cell>
          <cell r="J68" t="e">
            <v>#N/A</v>
          </cell>
          <cell r="M68" t="e">
            <v>#N/A</v>
          </cell>
          <cell r="N68" t="e">
            <v>#N/A</v>
          </cell>
          <cell r="O68">
            <v>0</v>
          </cell>
          <cell r="AA68" t="e">
            <v>#N/A</v>
          </cell>
          <cell r="AB68" t="e">
            <v>#N/A</v>
          </cell>
          <cell r="AC68" t="e">
            <v>#N/A</v>
          </cell>
          <cell r="AE68" t="e">
            <v>#N/A</v>
          </cell>
          <cell r="AG68" t="str">
            <v>23-23849357-9</v>
          </cell>
          <cell r="AH68" t="e">
            <v>#N/A</v>
          </cell>
          <cell r="AI68">
            <v>0</v>
          </cell>
          <cell r="AK68" t="e">
            <v>#N/A</v>
          </cell>
          <cell r="AL68">
            <v>0</v>
          </cell>
          <cell r="AM68" t="e">
            <v>#N/A</v>
          </cell>
          <cell r="AN68">
            <v>0</v>
          </cell>
          <cell r="AO68" t="e">
            <v>#N/A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e">
            <v>#N/A</v>
          </cell>
          <cell r="C69" t="e">
            <v>#N/A</v>
          </cell>
          <cell r="D69" t="e">
            <v>#N/A</v>
          </cell>
          <cell r="E69" t="e">
            <v>#N/A</v>
          </cell>
          <cell r="G69" t="e">
            <v>#N/A</v>
          </cell>
          <cell r="H69" t="e">
            <v>#N/A</v>
          </cell>
          <cell r="I69" t="e">
            <v>#N/A</v>
          </cell>
          <cell r="J69" t="e">
            <v>#N/A</v>
          </cell>
          <cell r="M69" t="e">
            <v>#N/A</v>
          </cell>
          <cell r="N69" t="e">
            <v>#N/A</v>
          </cell>
          <cell r="O69">
            <v>0</v>
          </cell>
          <cell r="AA69" t="e">
            <v>#N/A</v>
          </cell>
          <cell r="AB69" t="e">
            <v>#N/A</v>
          </cell>
          <cell r="AC69" t="e">
            <v>#N/A</v>
          </cell>
          <cell r="AE69" t="e">
            <v>#N/A</v>
          </cell>
          <cell r="AG69" t="str">
            <v>23-24822959-4</v>
          </cell>
          <cell r="AH69" t="e">
            <v>#N/A</v>
          </cell>
          <cell r="AI69">
            <v>0</v>
          </cell>
          <cell r="AK69" t="e">
            <v>#N/A</v>
          </cell>
          <cell r="AL69">
            <v>0</v>
          </cell>
          <cell r="AM69" t="e">
            <v>#N/A</v>
          </cell>
          <cell r="AN69">
            <v>0</v>
          </cell>
          <cell r="AO69" t="e">
            <v>#N/A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e">
            <v>#N/A</v>
          </cell>
          <cell r="C70" t="e">
            <v>#N/A</v>
          </cell>
          <cell r="D70" t="e">
            <v>#N/A</v>
          </cell>
          <cell r="E70" t="e">
            <v>#N/A</v>
          </cell>
          <cell r="G70" t="e">
            <v>#N/A</v>
          </cell>
          <cell r="H70" t="e">
            <v>#N/A</v>
          </cell>
          <cell r="I70" t="e">
            <v>#N/A</v>
          </cell>
          <cell r="J70" t="e">
            <v>#N/A</v>
          </cell>
          <cell r="M70" t="e">
            <v>#N/A</v>
          </cell>
          <cell r="N70" t="e">
            <v>#N/A</v>
          </cell>
          <cell r="O70">
            <v>0</v>
          </cell>
          <cell r="AA70" t="e">
            <v>#N/A</v>
          </cell>
          <cell r="AB70" t="e">
            <v>#N/A</v>
          </cell>
          <cell r="AC70" t="e">
            <v>#N/A</v>
          </cell>
          <cell r="AE70" t="e">
            <v>#N/A</v>
          </cell>
          <cell r="AG70" t="str">
            <v>20-23477778-6</v>
          </cell>
          <cell r="AH70" t="e">
            <v>#N/A</v>
          </cell>
          <cell r="AI70">
            <v>0</v>
          </cell>
          <cell r="AK70" t="e">
            <v>#N/A</v>
          </cell>
          <cell r="AL70">
            <v>0</v>
          </cell>
          <cell r="AM70" t="e">
            <v>#N/A</v>
          </cell>
          <cell r="AN70">
            <v>0</v>
          </cell>
          <cell r="AO70" t="e">
            <v>#N/A</v>
          </cell>
          <cell r="AP70" t="e">
            <v>#N/A</v>
          </cell>
          <cell r="AQ70" t="e">
            <v>#N/A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B71" t="e">
            <v>#N/A</v>
          </cell>
          <cell r="C71" t="e">
            <v>#N/A</v>
          </cell>
          <cell r="D71" t="e">
            <v>#N/A</v>
          </cell>
          <cell r="E71" t="e">
            <v>#N/A</v>
          </cell>
          <cell r="G71" t="e">
            <v>#N/A</v>
          </cell>
          <cell r="H71" t="e">
            <v>#N/A</v>
          </cell>
          <cell r="I71" t="e">
            <v>#N/A</v>
          </cell>
          <cell r="J71" t="e">
            <v>#N/A</v>
          </cell>
          <cell r="M71" t="e">
            <v>#N/A</v>
          </cell>
          <cell r="N71" t="e">
            <v>#N/A</v>
          </cell>
          <cell r="O71">
            <v>0</v>
          </cell>
          <cell r="AA71" t="e">
            <v>#N/A</v>
          </cell>
          <cell r="AB71" t="e">
            <v>#N/A</v>
          </cell>
          <cell r="AC71" t="e">
            <v>#N/A</v>
          </cell>
          <cell r="AE71" t="e">
            <v>#N/A</v>
          </cell>
          <cell r="AG71" t="str">
            <v>23-34946896-4</v>
          </cell>
          <cell r="AH71" t="e">
            <v>#N/A</v>
          </cell>
          <cell r="AI71">
            <v>0</v>
          </cell>
          <cell r="AK71" t="e">
            <v>#N/A</v>
          </cell>
          <cell r="AL71">
            <v>0</v>
          </cell>
          <cell r="AM71" t="e">
            <v>#N/A</v>
          </cell>
          <cell r="AN71">
            <v>0</v>
          </cell>
          <cell r="AO71" t="e">
            <v>#N/A</v>
          </cell>
          <cell r="AP71" t="e">
            <v>#N/A</v>
          </cell>
          <cell r="AQ71" t="e">
            <v>#N/A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B72" t="e">
            <v>#N/A</v>
          </cell>
          <cell r="C72" t="e">
            <v>#N/A</v>
          </cell>
          <cell r="D72" t="e">
            <v>#N/A</v>
          </cell>
          <cell r="E72" t="e">
            <v>#N/A</v>
          </cell>
          <cell r="G72" t="e">
            <v>#N/A</v>
          </cell>
          <cell r="H72" t="e">
            <v>#N/A</v>
          </cell>
          <cell r="I72" t="e">
            <v>#N/A</v>
          </cell>
          <cell r="J72" t="e">
            <v>#N/A</v>
          </cell>
          <cell r="M72" t="e">
            <v>#N/A</v>
          </cell>
          <cell r="N72" t="e">
            <v>#N/A</v>
          </cell>
          <cell r="O72">
            <v>0</v>
          </cell>
          <cell r="AA72" t="e">
            <v>#N/A</v>
          </cell>
          <cell r="AB72" t="e">
            <v>#N/A</v>
          </cell>
          <cell r="AC72" t="e">
            <v>#N/A</v>
          </cell>
          <cell r="AE72" t="e">
            <v>#N/A</v>
          </cell>
          <cell r="AG72" t="str">
            <v>24-31774708-6</v>
          </cell>
          <cell r="AH72" t="e">
            <v>#N/A</v>
          </cell>
          <cell r="AI72">
            <v>0</v>
          </cell>
          <cell r="AK72" t="e">
            <v>#N/A</v>
          </cell>
          <cell r="AL72">
            <v>0</v>
          </cell>
          <cell r="AM72" t="e">
            <v>#N/A</v>
          </cell>
          <cell r="AN72">
            <v>0</v>
          </cell>
          <cell r="AO72" t="e">
            <v>#N/A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e">
            <v>#N/A</v>
          </cell>
          <cell r="C73" t="e">
            <v>#N/A</v>
          </cell>
          <cell r="D73" t="e">
            <v>#N/A</v>
          </cell>
          <cell r="E73" t="e">
            <v>#N/A</v>
          </cell>
          <cell r="G73" t="e">
            <v>#N/A</v>
          </cell>
          <cell r="H73" t="e">
            <v>#N/A</v>
          </cell>
          <cell r="I73" t="e">
            <v>#N/A</v>
          </cell>
          <cell r="J73" t="e">
            <v>#N/A</v>
          </cell>
          <cell r="M73" t="e">
            <v>#N/A</v>
          </cell>
          <cell r="N73" t="e">
            <v>#N/A</v>
          </cell>
          <cell r="O73">
            <v>0</v>
          </cell>
          <cell r="AA73" t="e">
            <v>#N/A</v>
          </cell>
          <cell r="AB73" t="e">
            <v>#N/A</v>
          </cell>
          <cell r="AC73" t="e">
            <v>#N/A</v>
          </cell>
          <cell r="AE73" t="e">
            <v>#N/A</v>
          </cell>
          <cell r="AG73" t="str">
            <v>27-32848652-6</v>
          </cell>
          <cell r="AH73" t="e">
            <v>#N/A</v>
          </cell>
          <cell r="AI73">
            <v>0</v>
          </cell>
          <cell r="AK73" t="e">
            <v>#N/A</v>
          </cell>
          <cell r="AL73">
            <v>0</v>
          </cell>
          <cell r="AM73" t="e">
            <v>#N/A</v>
          </cell>
          <cell r="AN73">
            <v>0</v>
          </cell>
          <cell r="AO73" t="e">
            <v>#N/A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e">
            <v>#N/A</v>
          </cell>
          <cell r="C74" t="e">
            <v>#N/A</v>
          </cell>
          <cell r="D74" t="e">
            <v>#N/A</v>
          </cell>
          <cell r="E74" t="e">
            <v>#N/A</v>
          </cell>
          <cell r="G74" t="e">
            <v>#N/A</v>
          </cell>
          <cell r="H74" t="e">
            <v>#N/A</v>
          </cell>
          <cell r="I74" t="e">
            <v>#N/A</v>
          </cell>
          <cell r="J74" t="e">
            <v>#N/A</v>
          </cell>
          <cell r="M74" t="e">
            <v>#N/A</v>
          </cell>
          <cell r="N74" t="e">
            <v>#N/A</v>
          </cell>
          <cell r="O74">
            <v>0</v>
          </cell>
          <cell r="AA74" t="e">
            <v>#N/A</v>
          </cell>
          <cell r="AB74" t="e">
            <v>#N/A</v>
          </cell>
          <cell r="AC74" t="e">
            <v>#N/A</v>
          </cell>
          <cell r="AE74" t="e">
            <v>#N/A</v>
          </cell>
          <cell r="AG74" t="str">
            <v>27-37294334-9</v>
          </cell>
          <cell r="AH74" t="e">
            <v>#N/A</v>
          </cell>
          <cell r="AI74">
            <v>0</v>
          </cell>
          <cell r="AK74" t="e">
            <v>#N/A</v>
          </cell>
          <cell r="AL74">
            <v>0</v>
          </cell>
          <cell r="AM74" t="e">
            <v>#N/A</v>
          </cell>
          <cell r="AN74">
            <v>0</v>
          </cell>
          <cell r="AO74" t="e">
            <v>#N/A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e">
            <v>#N/A</v>
          </cell>
          <cell r="C75" t="e">
            <v>#N/A</v>
          </cell>
          <cell r="D75" t="e">
            <v>#N/A</v>
          </cell>
          <cell r="E75" t="e">
            <v>#N/A</v>
          </cell>
          <cell r="G75" t="e">
            <v>#N/A</v>
          </cell>
          <cell r="H75" t="e">
            <v>#N/A</v>
          </cell>
          <cell r="I75" t="e">
            <v>#N/A</v>
          </cell>
          <cell r="J75" t="e">
            <v>#N/A</v>
          </cell>
          <cell r="M75" t="e">
            <v>#N/A</v>
          </cell>
          <cell r="N75" t="e">
            <v>#N/A</v>
          </cell>
          <cell r="O75">
            <v>0</v>
          </cell>
          <cell r="AA75" t="e">
            <v>#N/A</v>
          </cell>
          <cell r="AB75" t="e">
            <v>#N/A</v>
          </cell>
          <cell r="AC75" t="e">
            <v>#N/A</v>
          </cell>
          <cell r="AE75" t="e">
            <v>#N/A</v>
          </cell>
          <cell r="AG75" t="str">
            <v>27-44180106-3</v>
          </cell>
          <cell r="AH75" t="e">
            <v>#N/A</v>
          </cell>
          <cell r="AI75">
            <v>0</v>
          </cell>
          <cell r="AK75" t="e">
            <v>#N/A</v>
          </cell>
          <cell r="AL75">
            <v>0</v>
          </cell>
          <cell r="AM75" t="e">
            <v>#N/A</v>
          </cell>
          <cell r="AN75">
            <v>0</v>
          </cell>
          <cell r="AO75" t="e">
            <v>#N/A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e">
            <v>#N/A</v>
          </cell>
          <cell r="C76" t="e">
            <v>#N/A</v>
          </cell>
          <cell r="D76" t="e">
            <v>#N/A</v>
          </cell>
          <cell r="E76" t="e">
            <v>#N/A</v>
          </cell>
          <cell r="G76" t="e">
            <v>#N/A</v>
          </cell>
          <cell r="H76" t="e">
            <v>#N/A</v>
          </cell>
          <cell r="I76" t="e">
            <v>#N/A</v>
          </cell>
          <cell r="J76" t="e">
            <v>#N/A</v>
          </cell>
          <cell r="M76" t="e">
            <v>#N/A</v>
          </cell>
          <cell r="N76" t="e">
            <v>#N/A</v>
          </cell>
          <cell r="O76">
            <v>0</v>
          </cell>
          <cell r="AA76" t="e">
            <v>#N/A</v>
          </cell>
          <cell r="AB76" t="e">
            <v>#N/A</v>
          </cell>
          <cell r="AC76" t="e">
            <v>#N/A</v>
          </cell>
          <cell r="AE76" t="e">
            <v>#N/A</v>
          </cell>
          <cell r="AG76" t="str">
            <v>20-33509299-7</v>
          </cell>
          <cell r="AH76" t="e">
            <v>#N/A</v>
          </cell>
          <cell r="AI76">
            <v>0</v>
          </cell>
          <cell r="AK76" t="e">
            <v>#N/A</v>
          </cell>
          <cell r="AL76">
            <v>0</v>
          </cell>
          <cell r="AM76" t="e">
            <v>#N/A</v>
          </cell>
          <cell r="AN76">
            <v>0</v>
          </cell>
          <cell r="AO76" t="e">
            <v>#N/A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 t="e">
            <v>#N/A</v>
          </cell>
        </row>
        <row r="77">
          <cell r="B77" t="str">
            <v>MARCOS</v>
          </cell>
          <cell r="C77">
            <v>8</v>
          </cell>
          <cell r="D77">
            <v>900000</v>
          </cell>
          <cell r="E77">
            <v>0</v>
          </cell>
          <cell r="G77">
            <v>0</v>
          </cell>
          <cell r="H77">
            <v>0</v>
          </cell>
          <cell r="I77">
            <v>329609.63855421683</v>
          </cell>
          <cell r="J77">
            <v>0</v>
          </cell>
          <cell r="M77">
            <v>1229609.6385542168</v>
          </cell>
          <cell r="N77">
            <v>-209033.63855421686</v>
          </cell>
          <cell r="O77">
            <v>0</v>
          </cell>
          <cell r="AA77">
            <v>1020576</v>
          </cell>
          <cell r="AB77">
            <v>0</v>
          </cell>
          <cell r="AC77" t="str">
            <v>un millon Veinte mil quinientos setenta y seis con 0/100----</v>
          </cell>
          <cell r="AE77">
            <v>8</v>
          </cell>
          <cell r="AG77" t="str">
            <v>27-39290843-4</v>
          </cell>
          <cell r="AH77">
            <v>1229609.6385542168</v>
          </cell>
          <cell r="AI77">
            <v>0</v>
          </cell>
          <cell r="AK77">
            <v>0</v>
          </cell>
          <cell r="AL77">
            <v>0</v>
          </cell>
          <cell r="AM77">
            <v>1229609.6385542168</v>
          </cell>
          <cell r="AN77">
            <v>0</v>
          </cell>
          <cell r="AO77">
            <v>135257.06024096385</v>
          </cell>
          <cell r="AP77">
            <v>36888.289156626503</v>
          </cell>
          <cell r="AQ77">
            <v>36888.289156626503</v>
          </cell>
          <cell r="AR77">
            <v>0</v>
          </cell>
          <cell r="AS77">
            <v>0</v>
          </cell>
          <cell r="AT77">
            <v>0</v>
          </cell>
        </row>
        <row r="78">
          <cell r="B78" t="e">
            <v>#N/A</v>
          </cell>
          <cell r="C78" t="e">
            <v>#N/A</v>
          </cell>
          <cell r="D78" t="e">
            <v>#N/A</v>
          </cell>
          <cell r="E78" t="e">
            <v>#N/A</v>
          </cell>
          <cell r="G78" t="e">
            <v>#N/A</v>
          </cell>
          <cell r="H78" t="e">
            <v>#N/A</v>
          </cell>
          <cell r="I78" t="e">
            <v>#N/A</v>
          </cell>
          <cell r="J78" t="e">
            <v>#N/A</v>
          </cell>
          <cell r="M78" t="e">
            <v>#N/A</v>
          </cell>
          <cell r="N78" t="e">
            <v>#N/A</v>
          </cell>
          <cell r="O78">
            <v>0</v>
          </cell>
          <cell r="AA78" t="e">
            <v>#N/A</v>
          </cell>
          <cell r="AB78" t="e">
            <v>#N/A</v>
          </cell>
          <cell r="AC78" t="e">
            <v>#N/A</v>
          </cell>
          <cell r="AE78" t="e">
            <v>#N/A</v>
          </cell>
          <cell r="AG78" t="str">
            <v>27-32320876-5</v>
          </cell>
          <cell r="AH78" t="e">
            <v>#N/A</v>
          </cell>
          <cell r="AI78">
            <v>0</v>
          </cell>
          <cell r="AK78" t="e">
            <v>#N/A</v>
          </cell>
          <cell r="AL78">
            <v>0</v>
          </cell>
          <cell r="AM78" t="e">
            <v>#N/A</v>
          </cell>
          <cell r="AN78">
            <v>0</v>
          </cell>
          <cell r="AO78" t="e">
            <v>#N/A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>
            <v>0</v>
          </cell>
          <cell r="C79">
            <v>8</v>
          </cell>
          <cell r="D79">
            <v>0</v>
          </cell>
          <cell r="E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Y79">
            <v>0</v>
          </cell>
          <cell r="AA79">
            <v>0</v>
          </cell>
          <cell r="AB79">
            <v>0</v>
          </cell>
          <cell r="AC79" t="str">
            <v xml:space="preserve"> con 0/100----</v>
          </cell>
          <cell r="AE79">
            <v>0</v>
          </cell>
          <cell r="AG79">
            <v>39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B80">
            <v>0</v>
          </cell>
          <cell r="C80">
            <v>8</v>
          </cell>
          <cell r="D80">
            <v>0</v>
          </cell>
          <cell r="E80">
            <v>0</v>
          </cell>
          <cell r="G80">
            <v>0</v>
          </cell>
          <cell r="H80">
            <v>0</v>
          </cell>
          <cell r="I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Y80">
            <v>0</v>
          </cell>
          <cell r="AA80">
            <v>0</v>
          </cell>
          <cell r="AB80">
            <v>0</v>
          </cell>
          <cell r="AC80" t="str">
            <v xml:space="preserve"> con 0/100----</v>
          </cell>
          <cell r="AE80">
            <v>0</v>
          </cell>
          <cell r="AG80">
            <v>40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B81">
            <v>0</v>
          </cell>
          <cell r="C81">
            <v>8</v>
          </cell>
          <cell r="D81">
            <v>0</v>
          </cell>
          <cell r="E81">
            <v>0</v>
          </cell>
          <cell r="G81">
            <v>0</v>
          </cell>
          <cell r="H81">
            <v>0</v>
          </cell>
          <cell r="I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Y81">
            <v>0</v>
          </cell>
          <cell r="AA81">
            <v>0</v>
          </cell>
          <cell r="AB81">
            <v>0</v>
          </cell>
          <cell r="AC81" t="str">
            <v xml:space="preserve"> con 0/100----</v>
          </cell>
          <cell r="AE81">
            <v>0</v>
          </cell>
          <cell r="AG81">
            <v>41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</sheetData>
      <sheetData sheetId="11">
        <row r="4">
          <cell r="E4">
            <v>46224</v>
          </cell>
        </row>
        <row r="43">
          <cell r="G43">
            <v>9.4000000000000004E-3</v>
          </cell>
        </row>
        <row r="44">
          <cell r="G44">
            <v>1839</v>
          </cell>
        </row>
        <row r="47">
          <cell r="G47">
            <v>424.62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5">
          <cell r="I65" t="str">
            <v>Sueldo neto</v>
          </cell>
          <cell r="J65">
            <v>1020576</v>
          </cell>
        </row>
        <row r="66">
          <cell r="I66" t="str">
            <v>Seguridad Social</v>
          </cell>
          <cell r="J66">
            <v>393475.0843373494</v>
          </cell>
        </row>
        <row r="67">
          <cell r="I67" t="str">
            <v>Obra social</v>
          </cell>
          <cell r="J67">
            <v>110664.86746987951</v>
          </cell>
        </row>
        <row r="68">
          <cell r="I68" t="str">
            <v>ART</v>
          </cell>
          <cell r="J68">
            <v>13397.330602409638</v>
          </cell>
        </row>
        <row r="69">
          <cell r="I69" t="str">
            <v>Costo Sindical</v>
          </cell>
          <cell r="J69">
            <v>0</v>
          </cell>
        </row>
        <row r="70">
          <cell r="I70" t="str">
            <v>SCVO</v>
          </cell>
          <cell r="J70">
            <v>424.62</v>
          </cell>
        </row>
      </sheetData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9"/>
  <sheetViews>
    <sheetView tabSelected="1" workbookViewId="0">
      <selection activeCell="F160" sqref="F160"/>
    </sheetView>
  </sheetViews>
  <sheetFormatPr baseColWidth="10" defaultColWidth="12.5859375" defaultRowHeight="14.35" x14ac:dyDescent="0.5"/>
  <cols>
    <col min="1" max="1" width="4" style="1" customWidth="1"/>
    <col min="2" max="7" width="22" style="1" customWidth="1"/>
    <col min="8" max="8" width="2" style="1" customWidth="1"/>
    <col min="9" max="26" width="11.41015625" style="1" customWidth="1"/>
    <col min="27" max="16384" width="12.5859375" style="1"/>
  </cols>
  <sheetData>
    <row r="1" spans="1:26" ht="12.75" customHeight="1" thickBot="1" x14ac:dyDescent="0.5500000000000000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5">
      <c r="A2" s="3"/>
      <c r="B2" s="4"/>
      <c r="C2" s="5"/>
      <c r="D2" s="5"/>
      <c r="E2" s="5"/>
      <c r="F2" s="120" t="s">
        <v>0</v>
      </c>
      <c r="G2" s="12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thickBot="1" x14ac:dyDescent="0.55000000000000004">
      <c r="A3" s="3"/>
      <c r="B3" s="124" t="str">
        <f>+[1]Resumen!B1</f>
        <v>Sync Technologies S.R.L.</v>
      </c>
      <c r="C3" s="118"/>
      <c r="D3" s="6"/>
      <c r="E3" s="3"/>
      <c r="F3" s="122"/>
      <c r="G3" s="12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5">
      <c r="A4" s="7"/>
      <c r="B4" s="8"/>
      <c r="C4" s="7"/>
      <c r="D4" s="9"/>
      <c r="E4" s="10"/>
      <c r="F4" s="7"/>
      <c r="G4" s="11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5">
      <c r="A5" s="3"/>
      <c r="B5" s="126" t="str">
        <f>+[1]Resumen!B2</f>
        <v>Pje Carabelas 235 9º piso - Ciudad de Buenos Aires</v>
      </c>
      <c r="C5" s="118"/>
      <c r="D5" s="118"/>
      <c r="E5" s="6" t="s">
        <v>1</v>
      </c>
      <c r="F5" s="12" t="str">
        <f>+[1]Resumen!D3</f>
        <v>30-69549623-7</v>
      </c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5">
      <c r="A6" s="3"/>
      <c r="B6" s="14"/>
      <c r="C6" s="3"/>
      <c r="D6" s="3"/>
      <c r="E6" s="3"/>
      <c r="F6" s="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5">
      <c r="A7" s="3"/>
      <c r="B7" s="15" t="s">
        <v>2</v>
      </c>
      <c r="C7" s="125" t="s">
        <v>3</v>
      </c>
      <c r="D7" s="113"/>
      <c r="E7" s="16"/>
      <c r="F7" s="17" t="s">
        <v>4</v>
      </c>
      <c r="G7" s="18" t="s">
        <v>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5">
      <c r="A8" s="3"/>
      <c r="B8" s="19">
        <f>VLOOKUP($C$8,[1]Resumen!$B$11:$R$42,4,FALSE)</f>
        <v>46234</v>
      </c>
      <c r="C8" s="20" t="str">
        <f>+[1]Resumen!B37</f>
        <v>MARCOS</v>
      </c>
      <c r="D8" s="3"/>
      <c r="E8" s="3"/>
      <c r="F8" s="3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5">
      <c r="A9" s="3"/>
      <c r="B9" s="21" t="str">
        <f>IF(B31=" "," ",[1]Modelo!B9)</f>
        <v xml:space="preserve"> </v>
      </c>
      <c r="C9" s="22"/>
      <c r="D9" s="3"/>
      <c r="E9" s="3"/>
      <c r="F9" s="23" t="s">
        <v>5</v>
      </c>
      <c r="G9" s="24" t="str">
        <f>VLOOKUP($C$8,[1]Resumen!$B$11:$R$42,17,FALSE)</f>
        <v>AVALIAN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5">
      <c r="A10" s="3"/>
      <c r="B10" s="25" t="s">
        <v>6</v>
      </c>
      <c r="C10" s="26" t="s">
        <v>7</v>
      </c>
      <c r="D10" s="26" t="s">
        <v>8</v>
      </c>
      <c r="E10" s="26" t="s">
        <v>9</v>
      </c>
      <c r="F10" s="26" t="s">
        <v>10</v>
      </c>
      <c r="G10" s="27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5">
      <c r="A11" s="3"/>
      <c r="B11" s="19" t="str">
        <f>+[1]Resumen!D6</f>
        <v>GALICIA</v>
      </c>
      <c r="C11" s="28">
        <f>+B8-31</f>
        <v>46203</v>
      </c>
      <c r="D11" s="29">
        <f>[1]CUSS!E4</f>
        <v>46224</v>
      </c>
      <c r="E11" s="30" t="str">
        <f>VLOOKUP($C$8,[1]Resumen!$B$11:$R$42,5,FALSE)</f>
        <v>Administrativo</v>
      </c>
      <c r="F11" s="29">
        <f>VLOOKUP($C$8,[1]Resumen!$B$11:$R$42,6,FALSE)</f>
        <v>46054</v>
      </c>
      <c r="G11" s="31">
        <f>VLOOKUP($C$8,[1]Resumen!$B$11:$R$42,7,FALSE)</f>
        <v>900000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5">
      <c r="A12" s="3"/>
      <c r="B12" s="115" t="s">
        <v>12</v>
      </c>
      <c r="C12" s="113"/>
      <c r="D12" s="32"/>
      <c r="E12" s="32"/>
      <c r="F12" s="26" t="s">
        <v>13</v>
      </c>
      <c r="G12" s="33" t="s">
        <v>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5">
      <c r="A13" s="3"/>
      <c r="B13" s="14" t="str">
        <f>IF(F13=""," ",[1]Modelo!B13)</f>
        <v>Remuneracion</v>
      </c>
      <c r="C13" s="3"/>
      <c r="D13" s="34" t="str">
        <f>+[1]Modelo!D13</f>
        <v>Jornada hs.</v>
      </c>
      <c r="E13" s="35">
        <f>VLOOKUP(C$8,[1]Resumen!$B$51:$Y$82,2,FALSE)</f>
        <v>8</v>
      </c>
      <c r="F13" s="36">
        <f>IF(VLOOKUP($C$8,[1]Resumen!$B$51:$Y$82,3,FALSE)=0,"",VLOOKUP($C$8,[1]Resumen!$B$51:$Y$82,3,FALSE))</f>
        <v>900000</v>
      </c>
      <c r="G13" s="3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5">
      <c r="A14" s="3"/>
      <c r="B14" s="14" t="str">
        <f>IF(F14=""," ",[1]Modelo!B14)</f>
        <v xml:space="preserve"> </v>
      </c>
      <c r="C14" s="3"/>
      <c r="D14" s="3"/>
      <c r="E14" s="35"/>
      <c r="F14" s="36" t="str">
        <f>IF(VLOOKUP($C$8,[1]Resumen!$B$51:$Y$82,4,FALSE)=0,"",VLOOKUP($C$8,[1]Resumen!$B$51:$Y$82,4,FALSE))</f>
        <v/>
      </c>
      <c r="G14" s="3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5">
      <c r="A15" s="3"/>
      <c r="B15" s="14" t="str">
        <f>IF(F15=""," ",[1]Modelo!B15)</f>
        <v xml:space="preserve"> </v>
      </c>
      <c r="C15" s="3"/>
      <c r="D15" s="3"/>
      <c r="E15" s="38"/>
      <c r="F15" s="36" t="str">
        <f>IF(VLOOKUP($C$8,[1]Resumen!$B$51:$Y$82,5,FALSE)=0,"",VLOOKUP($C$8,[1]Resumen!$B$51:$Y$82,5,FALSE))</f>
        <v/>
      </c>
      <c r="G15" s="3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5">
      <c r="A16" s="7"/>
      <c r="B16" s="39" t="str">
        <f>IF(F16=""," ",[1]Modelo!C16)</f>
        <v xml:space="preserve"> </v>
      </c>
      <c r="C16" s="40">
        <f>IF(VLOOKUP($C$8,[1]Resumen!$B$11:$R$42,10,FALSE)="","",VLOOKUP($C$8,[1]Resumen!$B$11:$R$42,10,FALSE))</f>
        <v>0</v>
      </c>
      <c r="D16" s="3" t="str">
        <f t="shared" ref="D16:D17" si="0">IF(C16="","","horas")</f>
        <v>horas</v>
      </c>
      <c r="E16" s="41"/>
      <c r="F16" s="36" t="str">
        <f>IF(VLOOKUP($C$8,[1]Resumen!$B$51:$Y$82,6,FALSE)=0,"",VLOOKUP($C$8,[1]Resumen!$B$51:$Y$82,6,FALSE))</f>
        <v/>
      </c>
      <c r="G16" s="4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5">
      <c r="A17" s="3"/>
      <c r="B17" s="39" t="str">
        <f>IF(F17=""," ",[1]Modelo!B17)</f>
        <v xml:space="preserve"> </v>
      </c>
      <c r="C17" s="40" t="str">
        <f>IF(VLOOKUP($C$8,[1]Resumen!$B$11:$R$42,11,FALSE)="","",VLOOKUP($C$8,[1]Resumen!$B$11:$R$42,11,FALSE))</f>
        <v/>
      </c>
      <c r="D17" s="3" t="str">
        <f t="shared" si="0"/>
        <v/>
      </c>
      <c r="E17" s="38"/>
      <c r="F17" s="36" t="str">
        <f>IF(VLOOKUP($C$8,[1]Resumen!$B$51:$Y$82,7,FALSE)=0,"",VLOOKUP($C$8,[1]Resumen!$B$51:$Y$82,7,FALSE))</f>
        <v/>
      </c>
      <c r="G17" s="3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5">
      <c r="A18" s="3"/>
      <c r="B18" s="14" t="str">
        <f>IF(F18=""," ",[1]Modelo!B18)</f>
        <v>A cuenta futuros aumentos</v>
      </c>
      <c r="C18" s="43"/>
      <c r="D18" s="3"/>
      <c r="E18" s="38"/>
      <c r="F18" s="36">
        <f>IF(VLOOKUP($C$8,[1]Resumen!$B$51:$Y$82,8,FALSE)=0,"",VLOOKUP($C$8,[1]Resumen!$B$51:$Y$82,8,FALSE))</f>
        <v>329609.63855421683</v>
      </c>
      <c r="G18" s="3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5">
      <c r="A19" s="3"/>
      <c r="B19" s="14" t="str">
        <f>IF(F19=""," ",[1]Modelo!B19)</f>
        <v xml:space="preserve"> </v>
      </c>
      <c r="C19" s="43"/>
      <c r="D19" s="3"/>
      <c r="E19" s="38"/>
      <c r="F19" s="36" t="str">
        <f>IF(VLOOKUP($C$8,[1]Resumen!$B$51:$Y$82,9,FALSE)=0,"",VLOOKUP($C$8,[1]Resumen!$B$51:$Y$82,9,FALSE))</f>
        <v/>
      </c>
      <c r="G19" s="3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5">
      <c r="A20" s="3"/>
      <c r="B20" s="14" t="str">
        <f>IF(F20=""," ",[1]Modelo!B20)</f>
        <v xml:space="preserve"> </v>
      </c>
      <c r="C20" s="43"/>
      <c r="D20" s="3"/>
      <c r="E20" s="38"/>
      <c r="F20" s="36" t="str">
        <f>IF(VLOOKUP($C$8,[1]Resumen!$B$51:$Y$82,10,FALSE)=0,"",VLOOKUP($C$8,[1]Resumen!$B$51:$Y$82,10,FALSE))</f>
        <v/>
      </c>
      <c r="G20" s="3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5">
      <c r="A21" s="7"/>
      <c r="B21" s="14" t="str">
        <f>IF(F21=""," ",[1]Modelo!B21)</f>
        <v xml:space="preserve"> </v>
      </c>
      <c r="C21" s="44"/>
      <c r="D21" s="7"/>
      <c r="E21" s="41"/>
      <c r="F21" s="36" t="str">
        <f>IF(VLOOKUP($C$8,[1]Resumen!$B$51:$Y$82,11,FALSE)=0,"",VLOOKUP($C$8,[1]Resumen!$B$51:$Y$82,11,FALSE))</f>
        <v/>
      </c>
      <c r="G21" s="4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5">
      <c r="A22" s="3"/>
      <c r="B22" s="45" t="str">
        <f>IF(G22=0," ",[1]Modelo!B22)</f>
        <v>Jubilación</v>
      </c>
      <c r="C22" s="46">
        <f>IF(G22=0,"",0.11)</f>
        <v>0.11</v>
      </c>
      <c r="D22" s="12"/>
      <c r="E22" s="38"/>
      <c r="F22" s="36"/>
      <c r="G22" s="37">
        <f>VLOOKUP(C$8,[1]Resumen!$B$50:$AT$82,40,FALSE)+VLOOKUP(C$8,[1]Resumen!$B$50:$AT$82,43,FALSE)</f>
        <v>135257.06024096385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5">
      <c r="A23" s="3"/>
      <c r="B23" s="45" t="str">
        <f>IF(G23=0," ",[1]Modelo!B23)</f>
        <v>I.N.S.S.J.P.</v>
      </c>
      <c r="C23" s="46">
        <f t="shared" ref="C23:C24" si="1">IF(G23=0,"",0.03)</f>
        <v>0.03</v>
      </c>
      <c r="D23" s="12"/>
      <c r="E23" s="38"/>
      <c r="F23" s="36"/>
      <c r="G23" s="37">
        <f>VLOOKUP(C$8,[1]Resumen!$B$50:$AT$82,41,FALSE)+VLOOKUP(C$8,[1]Resumen!$B$50:$AT$82,44,FALSE)</f>
        <v>36888.289156626503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5">
      <c r="A24" s="3"/>
      <c r="B24" s="45" t="str">
        <f>IF(G24=0," ",[1]Modelo!B24)</f>
        <v>Obra Social</v>
      </c>
      <c r="C24" s="46">
        <f t="shared" si="1"/>
        <v>0.03</v>
      </c>
      <c r="D24" s="3"/>
      <c r="E24" s="38"/>
      <c r="F24" s="36"/>
      <c r="G24" s="37">
        <f>VLOOKUP(C$8,[1]Resumen!$B$50:$AT$82,42,FALSE)+VLOOKUP(C$8,[1]Resumen!$B$50:$AT$82,45,FALSE)</f>
        <v>36888.289156626503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5">
      <c r="A25" s="3"/>
      <c r="B25" s="45" t="str">
        <f>IF(G25=0," ",[1]Modelo!B25)</f>
        <v xml:space="preserve"> </v>
      </c>
      <c r="C25" s="47" t="str">
        <f>IF(G25=0," ",[1]Modelo!C25)</f>
        <v xml:space="preserve"> </v>
      </c>
      <c r="D25" s="3"/>
      <c r="E25" s="38" t="str">
        <f>+IF([1]Resumen!U$51=0," ",[1]Resumen!U$51)</f>
        <v xml:space="preserve"> </v>
      </c>
      <c r="F25" s="36"/>
      <c r="G25" s="37">
        <f>VLOOKUP(C$8,[1]Resumen!$B$51:$Y$82,24,FALSE)</f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5">
      <c r="A26" s="3"/>
      <c r="B26" s="14" t="str">
        <f>IF(E26=" "," ",[1]Modelo!B26)</f>
        <v xml:space="preserve"> </v>
      </c>
      <c r="C26" s="3"/>
      <c r="D26" s="3"/>
      <c r="E26" s="38" t="str">
        <f>IF(VLOOKUP(C$8,[1]Resumen!$B$51:$Y$82,15,FALSE)=0," ",VLOOKUP(C$8,[1]Resumen!$B$51:$Y$82,15,FALSE))</f>
        <v xml:space="preserve"> </v>
      </c>
      <c r="F26" s="36"/>
      <c r="G26" s="3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5">
      <c r="A27" s="3"/>
      <c r="B27" s="14" t="str">
        <f>IF(E27=" "," ",[1]Modelo!B27)</f>
        <v xml:space="preserve"> </v>
      </c>
      <c r="C27" s="3"/>
      <c r="D27" s="3"/>
      <c r="E27" s="38" t="str">
        <f>IF(VLOOKUP(C$8,[1]Resumen!$B$51:$Y$82,16,FALSE)=0," ",VLOOKUP(C$8,[1]Resumen!$B$51:$Y$82,16,FALSE))</f>
        <v xml:space="preserve"> </v>
      </c>
      <c r="F27" s="36"/>
      <c r="G27" s="3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5">
      <c r="A28" s="3"/>
      <c r="B28" s="14" t="str">
        <f>IF(E28=" "," ",[1]Modelo!B28)</f>
        <v xml:space="preserve"> </v>
      </c>
      <c r="C28" s="3"/>
      <c r="D28" s="3"/>
      <c r="E28" s="38" t="str">
        <f>IF(VLOOKUP(C$8,[1]Resumen!$B$51:$Y$82,17,FALSE)=0," ",VLOOKUP(C$8,[1]Resumen!$B$51:$Y$82,17,FALSE))</f>
        <v xml:space="preserve"> </v>
      </c>
      <c r="F28" s="36"/>
      <c r="G28" s="3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5">
      <c r="A29" s="3"/>
      <c r="B29" s="14" t="str">
        <f>IF(E29=" "," ",[1]Modelo!B29)</f>
        <v xml:space="preserve"> </v>
      </c>
      <c r="C29" s="3"/>
      <c r="D29" s="3"/>
      <c r="E29" s="38" t="str">
        <f>IF(VLOOKUP(C$8,[1]Resumen!$B$51:$Y$82,18,FALSE)=0," ",VLOOKUP(C$8,[1]Resumen!$B$51:$Y$82,18,FALSE))</f>
        <v xml:space="preserve"> </v>
      </c>
      <c r="F29" s="36"/>
      <c r="G29" s="3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5">
      <c r="A30" s="3"/>
      <c r="B30" s="14" t="str">
        <f>IF(E30=" "," ",[1]Modelo!B30)</f>
        <v xml:space="preserve"> </v>
      </c>
      <c r="C30" s="3"/>
      <c r="D30" s="3"/>
      <c r="E30" s="38" t="str">
        <f>IF(VLOOKUP(C$8,[1]Resumen!$B$51:$Y$82,19,FALSE)=0," ",VLOOKUP(C$8,[1]Resumen!$B$51:$Y$82,19,FALSE))</f>
        <v xml:space="preserve"> </v>
      </c>
      <c r="F30" s="36"/>
      <c r="G30" s="3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5">
      <c r="A31" s="3"/>
      <c r="B31" s="14" t="str">
        <f>IF(E31=" "," ",[1]Modelo!B31)</f>
        <v xml:space="preserve"> </v>
      </c>
      <c r="C31" s="3"/>
      <c r="D31" s="3"/>
      <c r="E31" s="38" t="str">
        <f>IF(VLOOKUP(C$8,[1]Resumen!$B$51:$Y$82,20,FALSE)=0," ",VLOOKUP(C$8,[1]Resumen!$B$51:$Y$82,20,FALSE))</f>
        <v xml:space="preserve"> </v>
      </c>
      <c r="F31" s="36"/>
      <c r="G31" s="3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5">
      <c r="A32" s="3"/>
      <c r="B32" s="14" t="str">
        <f>IF(E32=" "," ",[1]Modelo!B32)</f>
        <v xml:space="preserve"> </v>
      </c>
      <c r="C32" s="3"/>
      <c r="D32" s="3"/>
      <c r="E32" s="38" t="str">
        <f>IF(VLOOKUP(C$8,[1]Resumen!$B$51:$Y$82,21,FALSE)=0," ",VLOOKUP(C$8,[1]Resumen!$B$51:$Y$82,21,FALSE))</f>
        <v xml:space="preserve"> </v>
      </c>
      <c r="F32" s="36"/>
      <c r="G32" s="3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5">
      <c r="A33" s="3"/>
      <c r="B33" s="14" t="str">
        <f>IF(E33=" "," ",[1]Modelo!B33)</f>
        <v xml:space="preserve"> </v>
      </c>
      <c r="C33" s="3"/>
      <c r="D33" s="3"/>
      <c r="E33" s="38" t="str">
        <f>IF(VLOOKUP(C$8,[1]Resumen!$B$51:$Y$82,22,FALSE)=0," ",VLOOKUP(C$8,[1]Resumen!$B$51:$Y$82,22,FALSE))</f>
        <v xml:space="preserve"> </v>
      </c>
      <c r="F33" s="36"/>
      <c r="G33" s="3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5">
      <c r="A34" s="3"/>
      <c r="B34" s="14" t="str">
        <f>IF(E34=" "," ",[1]Modelo!B34)</f>
        <v xml:space="preserve"> </v>
      </c>
      <c r="C34" s="3"/>
      <c r="D34" s="3"/>
      <c r="E34" s="38" t="str">
        <f>IF(VLOOKUP(C$8,[1]Resumen!$B$51:$Y$82,23,FALSE)=0," ",VLOOKUP(C$8,[1]Resumen!$B$51:$Y$82,23,FALSE))</f>
        <v xml:space="preserve"> </v>
      </c>
      <c r="F34" s="36"/>
      <c r="G34" s="3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5">
      <c r="A35" s="3"/>
      <c r="B35" s="14" t="str">
        <f>IF(E35=" "," ",[1]Modelo!B35)</f>
        <v xml:space="preserve"> </v>
      </c>
      <c r="C35" s="38" t="str">
        <f>IF(VLOOKUP(C$8,[1]Resumen!$B$11:$O$42,13,FALSE)=0," ",VLOOKUP(C$8,[1]Resumen!$B$11:$O$42,13,FALSE))</f>
        <v xml:space="preserve"> </v>
      </c>
      <c r="D35" s="3"/>
      <c r="E35" s="38" t="str">
        <f>IF(VLOOKUP(C$8,[1]Resumen!$B$51:$Y$82,14,FALSE)=0," ",VLOOKUP(C$8,[1]Resumen!$B$51:$Y$82,14,FALSE))</f>
        <v xml:space="preserve"> </v>
      </c>
      <c r="F35" s="36"/>
      <c r="G35" s="3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5">
      <c r="A36" s="3"/>
      <c r="B36" s="14" t="str">
        <f>IF(E36=" "," ",[1]Modelo!B36)</f>
        <v xml:space="preserve"> </v>
      </c>
      <c r="C36" s="3"/>
      <c r="D36" s="3"/>
      <c r="E36" s="38" t="str">
        <f>IF(VLOOKUP(C$8,[1]Resumen!$B$51:$Z$82,25,FALSE)=0," ",VLOOKUP(C$8,[1]Resumen!$B$51:$Z$82,25,FALSE))</f>
        <v xml:space="preserve"> </v>
      </c>
      <c r="F36" s="36"/>
      <c r="G36" s="3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thickBot="1" x14ac:dyDescent="0.55000000000000004">
      <c r="A37" s="3"/>
      <c r="B37" s="48" t="s">
        <v>15</v>
      </c>
      <c r="C37" s="49"/>
      <c r="D37" s="49"/>
      <c r="E37" s="50">
        <f>SUM(E16:E36)</f>
        <v>0</v>
      </c>
      <c r="F37" s="50">
        <f t="shared" ref="F37:G37" si="2">SUM(F13:F36)</f>
        <v>1229609.6385542168</v>
      </c>
      <c r="G37" s="51">
        <f t="shared" si="2"/>
        <v>209033.63855421686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Top="1" thickBot="1" x14ac:dyDescent="0.55000000000000004">
      <c r="A38" s="3"/>
      <c r="B38" s="116"/>
      <c r="C38" s="117"/>
      <c r="D38" s="3"/>
      <c r="E38" s="38"/>
      <c r="F38" s="52" t="s">
        <v>16</v>
      </c>
      <c r="G38" s="53">
        <f>+F37+E37-G37</f>
        <v>1020576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thickTop="1" x14ac:dyDescent="0.5">
      <c r="A39" s="3"/>
      <c r="B39" s="105" t="str">
        <f>[1]Modelo!B39</f>
        <v>Recibí de la firma cuyo rubro se indica</v>
      </c>
      <c r="C39" s="118"/>
      <c r="D39" s="3"/>
      <c r="E39" s="3"/>
      <c r="F39" s="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5">
      <c r="A40" s="3"/>
      <c r="B40" s="105" t="str">
        <f>[1]Modelo!B40</f>
        <v>arriba el importe neto de esta liquidación</v>
      </c>
      <c r="C40" s="118"/>
      <c r="D40" s="54"/>
      <c r="E40" s="55"/>
      <c r="F40" s="55"/>
      <c r="G40" s="5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5">
      <c r="A41" s="3"/>
      <c r="B41" s="105" t="str">
        <f>[1]Modelo!B41</f>
        <v>en pago de mi remuneración correspondiente</v>
      </c>
      <c r="C41" s="118"/>
      <c r="D41" s="57" t="s">
        <v>17</v>
      </c>
      <c r="E41" s="119" t="str">
        <f>VLOOKUP(C$8,[1]Resumen!$B$51:$AC$82,28,FALSE)</f>
        <v>un millon Veinte mil quinientos setenta y seis con 0/100----</v>
      </c>
      <c r="F41" s="118"/>
      <c r="G41" s="10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5">
      <c r="A42" s="3"/>
      <c r="B42" s="105" t="str">
        <f>[1]Modelo!B42</f>
        <v>al periodo indicado y duplicado en la misma.</v>
      </c>
      <c r="C42" s="118"/>
      <c r="D42" s="58"/>
      <c r="E42" s="49"/>
      <c r="F42" s="49"/>
      <c r="G42" s="5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5">
      <c r="A43" s="3"/>
      <c r="B43" s="14"/>
      <c r="C43" s="3"/>
      <c r="D43" s="60" t="s">
        <v>18</v>
      </c>
      <c r="E43" s="61"/>
      <c r="F43" s="62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5">
      <c r="A44" s="3"/>
      <c r="B44" s="14"/>
      <c r="C44" s="3"/>
      <c r="D44" s="57" t="s">
        <v>19</v>
      </c>
      <c r="E44" s="61" t="s">
        <v>20</v>
      </c>
      <c r="F44" s="108">
        <f>VLOOKUP($C$8,[1]Resumen!$B$11:$AB$42,27,FALSE)</f>
        <v>46240</v>
      </c>
      <c r="G44" s="10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5">
      <c r="A45" s="3"/>
      <c r="B45" s="14"/>
      <c r="C45" s="3"/>
      <c r="D45" s="57"/>
      <c r="E45" s="61"/>
      <c r="F45" s="62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5">
      <c r="A46" s="3"/>
      <c r="B46" s="14"/>
      <c r="C46" s="3"/>
      <c r="D46" s="57"/>
      <c r="E46" s="61"/>
      <c r="F46" s="62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5">
      <c r="A47" s="3"/>
      <c r="B47" s="107" t="s">
        <v>21</v>
      </c>
      <c r="C47" s="118"/>
      <c r="D47" s="58"/>
      <c r="E47" s="63"/>
      <c r="F47" s="63"/>
      <c r="G47" s="5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thickBot="1" x14ac:dyDescent="0.55000000000000004">
      <c r="A48" s="3"/>
      <c r="B48" s="110" t="s">
        <v>22</v>
      </c>
      <c r="C48" s="111"/>
      <c r="D48" s="64"/>
      <c r="E48" s="64"/>
      <c r="F48" s="64"/>
      <c r="G48" s="6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7" thickBot="1" x14ac:dyDescent="0.55000000000000004">
      <c r="A49" s="66"/>
      <c r="B49" s="67"/>
      <c r="C49" s="5"/>
      <c r="D49" s="5"/>
      <c r="E49" s="5"/>
      <c r="F49" s="5"/>
      <c r="G49" s="68"/>
      <c r="H49" s="38"/>
      <c r="I49" s="38"/>
      <c r="J49" s="69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</row>
    <row r="50" spans="1:26" ht="14.7" thickBot="1" x14ac:dyDescent="0.55000000000000004">
      <c r="A50" s="70"/>
      <c r="B50" s="71" t="s">
        <v>23</v>
      </c>
      <c r="C50" s="72"/>
      <c r="D50" s="72"/>
      <c r="E50" s="72"/>
      <c r="F50" s="72"/>
      <c r="G50" s="73">
        <f>SUM(G51:G57)</f>
        <v>1538537.9024096385</v>
      </c>
      <c r="H50" s="74"/>
      <c r="I50" s="74"/>
      <c r="J50" s="74" t="str">
        <f>+E11</f>
        <v>Administrativo</v>
      </c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x14ac:dyDescent="0.5">
      <c r="A51" s="76"/>
      <c r="B51" s="77"/>
      <c r="C51" s="78"/>
      <c r="D51" s="78"/>
      <c r="E51" s="78"/>
      <c r="F51" s="79"/>
      <c r="G51" s="80">
        <f>+E37+F37</f>
        <v>1229609.6385542168</v>
      </c>
      <c r="H51" s="81"/>
      <c r="I51" s="81"/>
      <c r="J51" s="81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x14ac:dyDescent="0.5">
      <c r="A52" s="76"/>
      <c r="B52" s="77" t="s">
        <v>24</v>
      </c>
      <c r="C52" s="78"/>
      <c r="D52" s="78"/>
      <c r="E52" s="78"/>
      <c r="F52" s="79"/>
      <c r="G52" s="82">
        <f t="shared" ref="G52:G53" si="3">$F$37*J52</f>
        <v>221329.73493975902</v>
      </c>
      <c r="H52" s="81"/>
      <c r="I52" s="81"/>
      <c r="J52" s="83">
        <f>IF(J50="gerente - CEO",0,0.18)</f>
        <v>0.18</v>
      </c>
      <c r="K52" s="83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x14ac:dyDescent="0.5">
      <c r="A53" s="76"/>
      <c r="B53" s="77" t="s">
        <v>25</v>
      </c>
      <c r="C53" s="78"/>
      <c r="D53" s="78"/>
      <c r="E53" s="78"/>
      <c r="F53" s="79"/>
      <c r="G53" s="82">
        <f t="shared" si="3"/>
        <v>73776.578313253005</v>
      </c>
      <c r="H53" s="81"/>
      <c r="I53" s="81"/>
      <c r="J53" s="83">
        <f>IF(J50="gerente - CEO",0,0.06)</f>
        <v>0.06</v>
      </c>
      <c r="K53" s="83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x14ac:dyDescent="0.5">
      <c r="A54" s="76"/>
      <c r="B54" s="77" t="s">
        <v>26</v>
      </c>
      <c r="C54" s="78"/>
      <c r="D54" s="78"/>
      <c r="E54" s="78"/>
      <c r="F54" s="79"/>
      <c r="G54" s="82">
        <f t="shared" ref="G54:G55" si="4">$F$37*J54+K54</f>
        <v>13397.330602409638</v>
      </c>
      <c r="H54" s="81"/>
      <c r="I54" s="81"/>
      <c r="J54" s="83">
        <f>+[1]CUSS!G43</f>
        <v>9.4000000000000004E-3</v>
      </c>
      <c r="K54" s="84">
        <f>+[1]CUSS!G44</f>
        <v>1839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x14ac:dyDescent="0.5">
      <c r="A55" s="76"/>
      <c r="B55" s="77" t="s">
        <v>27</v>
      </c>
      <c r="C55" s="78"/>
      <c r="D55" s="78"/>
      <c r="E55" s="78"/>
      <c r="F55" s="79"/>
      <c r="G55" s="82">
        <f t="shared" si="4"/>
        <v>424.62</v>
      </c>
      <c r="H55" s="81"/>
      <c r="I55" s="81"/>
      <c r="J55" s="83">
        <v>0</v>
      </c>
      <c r="K55" s="84">
        <f>+[1]CUSS!G47</f>
        <v>424.62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x14ac:dyDescent="0.5">
      <c r="A56" s="76"/>
      <c r="B56" s="77" t="s">
        <v>28</v>
      </c>
      <c r="C56" s="78"/>
      <c r="D56" s="78"/>
      <c r="E56" s="78"/>
      <c r="F56" s="79"/>
      <c r="G56" s="82">
        <f>$F$37*J56</f>
        <v>0</v>
      </c>
      <c r="H56" s="81"/>
      <c r="I56" s="81"/>
      <c r="J56" s="83">
        <v>0</v>
      </c>
      <c r="K56" s="83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x14ac:dyDescent="0.5">
      <c r="A57" s="76"/>
      <c r="B57" s="77"/>
      <c r="C57" s="78"/>
      <c r="D57" s="78"/>
      <c r="E57" s="78"/>
      <c r="F57" s="79"/>
      <c r="G57" s="82"/>
      <c r="H57" s="81"/>
      <c r="I57" s="81"/>
      <c r="J57" s="81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x14ac:dyDescent="0.5">
      <c r="A58" s="76"/>
      <c r="B58" s="85" t="s">
        <v>29</v>
      </c>
      <c r="C58" s="86"/>
      <c r="D58" s="86"/>
      <c r="E58" s="86"/>
      <c r="F58" s="87"/>
      <c r="G58" s="88">
        <f>SUM(G52:G57)</f>
        <v>308928.26385542168</v>
      </c>
      <c r="H58" s="81"/>
      <c r="I58" s="81"/>
      <c r="J58" s="81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x14ac:dyDescent="0.5">
      <c r="A59" s="76"/>
      <c r="B59" s="85"/>
      <c r="C59" s="86"/>
      <c r="D59" s="86"/>
      <c r="E59" s="86"/>
      <c r="F59" s="87"/>
      <c r="G59" s="89"/>
      <c r="H59" s="81"/>
      <c r="I59" s="81"/>
      <c r="J59" s="81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x14ac:dyDescent="0.5">
      <c r="A60" s="70"/>
      <c r="B60" s="112" t="s">
        <v>30</v>
      </c>
      <c r="C60" s="113"/>
      <c r="D60" s="113"/>
      <c r="E60" s="113"/>
      <c r="F60" s="113"/>
      <c r="G60" s="114"/>
      <c r="H60" s="74"/>
      <c r="I60" s="74"/>
      <c r="J60" s="74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x14ac:dyDescent="0.5">
      <c r="A61" s="76"/>
      <c r="B61" s="77"/>
      <c r="C61" s="90"/>
      <c r="D61" s="90"/>
      <c r="E61" s="78"/>
      <c r="F61" s="79"/>
      <c r="G61" s="82"/>
      <c r="H61" s="81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x14ac:dyDescent="0.5">
      <c r="A62" s="76"/>
      <c r="B62" s="77" t="s">
        <v>31</v>
      </c>
      <c r="C62" s="91"/>
      <c r="D62" s="91">
        <f>SUM(D63:D64)</f>
        <v>393475.0843373494</v>
      </c>
      <c r="E62" s="78"/>
      <c r="F62" s="91" t="s">
        <v>32</v>
      </c>
      <c r="G62" s="82"/>
      <c r="H62" s="81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x14ac:dyDescent="0.5">
      <c r="A63" s="76"/>
      <c r="B63" s="77"/>
      <c r="C63" s="78" t="s">
        <v>33</v>
      </c>
      <c r="D63" s="79">
        <f>+G52</f>
        <v>221329.73493975902</v>
      </c>
      <c r="E63" s="78"/>
      <c r="F63" s="79"/>
      <c r="G63" s="82"/>
      <c r="H63" s="81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x14ac:dyDescent="0.5">
      <c r="A64" s="76"/>
      <c r="B64" s="77"/>
      <c r="C64" s="78" t="s">
        <v>34</v>
      </c>
      <c r="D64" s="79">
        <f>+G22+G23</f>
        <v>172145.34939759035</v>
      </c>
      <c r="E64" s="78"/>
      <c r="F64" s="79"/>
      <c r="G64" s="82"/>
      <c r="H64" s="81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x14ac:dyDescent="0.5">
      <c r="A65" s="76"/>
      <c r="B65" s="77" t="s">
        <v>35</v>
      </c>
      <c r="C65" s="91"/>
      <c r="D65" s="91">
        <f>SUM(D66:D67)</f>
        <v>110664.86746987951</v>
      </c>
      <c r="E65" s="78"/>
      <c r="F65" s="79"/>
      <c r="G65" s="82"/>
      <c r="H65" s="81"/>
      <c r="I65" s="81" t="s">
        <v>36</v>
      </c>
      <c r="J65" s="90">
        <f>+G38</f>
        <v>1020576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x14ac:dyDescent="0.5">
      <c r="A66" s="76"/>
      <c r="B66" s="77"/>
      <c r="C66" s="78" t="s">
        <v>33</v>
      </c>
      <c r="D66" s="79">
        <f>+G53</f>
        <v>73776.578313253005</v>
      </c>
      <c r="E66" s="78"/>
      <c r="F66" s="79"/>
      <c r="G66" s="82"/>
      <c r="H66" s="81"/>
      <c r="I66" s="81" t="s">
        <v>37</v>
      </c>
      <c r="J66" s="90">
        <f>+D62</f>
        <v>393475.0843373494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x14ac:dyDescent="0.5">
      <c r="A67" s="76"/>
      <c r="B67" s="77"/>
      <c r="C67" s="78" t="s">
        <v>34</v>
      </c>
      <c r="D67" s="79">
        <f>+G24</f>
        <v>36888.289156626503</v>
      </c>
      <c r="E67" s="78"/>
      <c r="F67" s="79"/>
      <c r="G67" s="82"/>
      <c r="H67" s="81"/>
      <c r="I67" s="81" t="s">
        <v>38</v>
      </c>
      <c r="J67" s="90">
        <f>+D65</f>
        <v>110664.86746987951</v>
      </c>
      <c r="K67" s="90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x14ac:dyDescent="0.5">
      <c r="A68" s="76"/>
      <c r="B68" s="77" t="s">
        <v>39</v>
      </c>
      <c r="C68" s="91"/>
      <c r="D68" s="91">
        <f>SUM(D69:D70)</f>
        <v>13397.330602409638</v>
      </c>
      <c r="E68" s="78"/>
      <c r="F68" s="79"/>
      <c r="G68" s="82"/>
      <c r="H68" s="81"/>
      <c r="I68" s="81" t="s">
        <v>26</v>
      </c>
      <c r="J68" s="90">
        <f>+D68</f>
        <v>13397.330602409638</v>
      </c>
      <c r="K68" s="90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x14ac:dyDescent="0.5">
      <c r="A69" s="76"/>
      <c r="B69" s="77"/>
      <c r="C69" s="78" t="s">
        <v>33</v>
      </c>
      <c r="D69" s="90">
        <f>+G54</f>
        <v>13397.330602409638</v>
      </c>
      <c r="E69" s="78"/>
      <c r="F69" s="79"/>
      <c r="G69" s="82"/>
      <c r="H69" s="81"/>
      <c r="I69" s="81" t="s">
        <v>40</v>
      </c>
      <c r="J69" s="90">
        <f>+D71</f>
        <v>0</v>
      </c>
      <c r="K69" s="90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x14ac:dyDescent="0.5">
      <c r="A70" s="76"/>
      <c r="B70" s="77"/>
      <c r="C70" s="78"/>
      <c r="D70" s="92"/>
      <c r="E70" s="92"/>
      <c r="F70" s="84"/>
      <c r="G70" s="93"/>
      <c r="H70" s="94"/>
      <c r="I70" s="81" t="s">
        <v>41</v>
      </c>
      <c r="J70" s="90">
        <f>+D74</f>
        <v>424.62</v>
      </c>
      <c r="K70" s="90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x14ac:dyDescent="0.5">
      <c r="A71" s="76"/>
      <c r="B71" s="77" t="s">
        <v>42</v>
      </c>
      <c r="C71" s="91"/>
      <c r="D71" s="91">
        <f>SUM(D72:D73)</f>
        <v>0</v>
      </c>
      <c r="E71" s="92"/>
      <c r="F71" s="84"/>
      <c r="G71" s="93"/>
      <c r="H71" s="94"/>
      <c r="I71" s="81"/>
      <c r="J71" s="94"/>
      <c r="K71" s="90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x14ac:dyDescent="0.5">
      <c r="A72" s="76"/>
      <c r="B72" s="77"/>
      <c r="C72" s="78" t="s">
        <v>33</v>
      </c>
      <c r="D72" s="92"/>
      <c r="E72" s="92"/>
      <c r="F72" s="84"/>
      <c r="G72" s="93"/>
      <c r="H72" s="94"/>
      <c r="I72" s="81"/>
      <c r="J72" s="94"/>
      <c r="K72" s="90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x14ac:dyDescent="0.5">
      <c r="A73" s="76"/>
      <c r="B73" s="77"/>
      <c r="C73" s="78" t="s">
        <v>34</v>
      </c>
      <c r="D73" s="79">
        <f>+G26</f>
        <v>0</v>
      </c>
      <c r="E73" s="92"/>
      <c r="F73" s="84"/>
      <c r="G73" s="93"/>
      <c r="H73" s="94"/>
      <c r="I73" s="81"/>
      <c r="J73" s="94"/>
      <c r="K73" s="90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x14ac:dyDescent="0.5">
      <c r="A74" s="95"/>
      <c r="B74" s="77" t="s">
        <v>43</v>
      </c>
      <c r="C74" s="91"/>
      <c r="D74" s="91">
        <f>SUM(D75:D76)</f>
        <v>424.62</v>
      </c>
      <c r="E74" s="92"/>
      <c r="F74" s="84"/>
      <c r="G74" s="93"/>
      <c r="H74" s="94"/>
      <c r="I74" s="81"/>
      <c r="J74" s="94"/>
      <c r="K74" s="90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x14ac:dyDescent="0.5">
      <c r="A75" s="95"/>
      <c r="B75" s="96"/>
      <c r="C75" s="78" t="s">
        <v>33</v>
      </c>
      <c r="D75" s="97">
        <f>+G55</f>
        <v>424.62</v>
      </c>
      <c r="E75" s="92"/>
      <c r="F75" s="84"/>
      <c r="G75" s="93"/>
      <c r="H75" s="94"/>
      <c r="I75" s="81"/>
      <c r="J75" s="9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x14ac:dyDescent="0.5">
      <c r="A76" s="95"/>
      <c r="B76" s="96"/>
      <c r="C76" s="92"/>
      <c r="D76" s="92"/>
      <c r="E76" s="92"/>
      <c r="F76" s="84"/>
      <c r="G76" s="93"/>
      <c r="H76" s="94"/>
      <c r="I76" s="94"/>
      <c r="J76" s="94"/>
      <c r="K76" s="97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x14ac:dyDescent="0.5">
      <c r="A77" s="95"/>
      <c r="B77" s="98"/>
      <c r="C77" s="99"/>
      <c r="D77" s="99"/>
      <c r="E77" s="99"/>
      <c r="F77" s="100"/>
      <c r="G77" s="101"/>
      <c r="H77" s="94"/>
      <c r="I77" s="94"/>
      <c r="J77" s="9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2.75" customHeight="1" x14ac:dyDescent="0.5">
      <c r="A78" s="3"/>
      <c r="B78" s="66"/>
      <c r="C78" s="66"/>
      <c r="D78" s="3"/>
      <c r="E78" s="3"/>
      <c r="F78" s="3"/>
      <c r="G78" s="3"/>
      <c r="H78" s="10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thickBot="1" x14ac:dyDescent="0.55000000000000004">
      <c r="A79" s="103"/>
      <c r="B79" s="103"/>
      <c r="C79" s="103"/>
      <c r="D79" s="103"/>
      <c r="E79" s="103"/>
      <c r="F79" s="103"/>
      <c r="G79" s="10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5">
      <c r="A80" s="3"/>
      <c r="B80" s="4"/>
      <c r="C80" s="5"/>
      <c r="D80" s="5"/>
      <c r="E80" s="5"/>
      <c r="F80" s="120" t="str">
        <f>+F2</f>
        <v>RECIBO DE HABERES</v>
      </c>
      <c r="G80" s="12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thickBot="1" x14ac:dyDescent="0.55000000000000004">
      <c r="A81" s="3"/>
      <c r="B81" s="124" t="str">
        <f>+B3</f>
        <v>Sync Technologies S.R.L.</v>
      </c>
      <c r="C81" s="118"/>
      <c r="D81" s="6"/>
      <c r="E81" s="3"/>
      <c r="F81" s="122"/>
      <c r="G81" s="1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5">
      <c r="A82" s="3"/>
      <c r="B82" s="14"/>
      <c r="C82" s="3"/>
      <c r="D82" s="3"/>
      <c r="E82" s="3"/>
      <c r="F82" s="3"/>
      <c r="G82" s="1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5">
      <c r="A83" s="3"/>
      <c r="B83" s="15" t="s">
        <v>2</v>
      </c>
      <c r="C83" s="125" t="s">
        <v>3</v>
      </c>
      <c r="D83" s="113"/>
      <c r="E83" s="16"/>
      <c r="F83" s="17" t="s">
        <v>4</v>
      </c>
      <c r="G83" s="18" t="str">
        <f>+G7</f>
        <v>20-33304672-6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5">
      <c r="A84" s="3"/>
      <c r="B84" s="19">
        <f t="shared" ref="B84:C84" si="5">+B8</f>
        <v>46234</v>
      </c>
      <c r="C84" s="20" t="str">
        <f t="shared" si="5"/>
        <v>MARCOS</v>
      </c>
      <c r="D84" s="3"/>
      <c r="E84" s="3"/>
      <c r="F84" s="3"/>
      <c r="G84" s="1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5">
      <c r="A85" s="3"/>
      <c r="B85" s="21" t="str">
        <f>+B9</f>
        <v xml:space="preserve"> </v>
      </c>
      <c r="C85" s="22"/>
      <c r="D85" s="3"/>
      <c r="E85" s="3"/>
      <c r="F85" s="23" t="s">
        <v>5</v>
      </c>
      <c r="G85" s="24" t="str">
        <f>+G9</f>
        <v>AVALIAN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5">
      <c r="A86" s="3"/>
      <c r="B86" s="25" t="s">
        <v>6</v>
      </c>
      <c r="C86" s="26" t="s">
        <v>7</v>
      </c>
      <c r="D86" s="26" t="s">
        <v>8</v>
      </c>
      <c r="E86" s="26" t="s">
        <v>9</v>
      </c>
      <c r="F86" s="26" t="s">
        <v>10</v>
      </c>
      <c r="G86" s="27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5">
      <c r="A87" s="3"/>
      <c r="B87" s="19" t="str">
        <f t="shared" ref="B87:C87" si="6">+B11</f>
        <v>GALICIA</v>
      </c>
      <c r="C87" s="28">
        <f t="shared" si="6"/>
        <v>46203</v>
      </c>
      <c r="D87" s="104">
        <f>[1]CUSS!E4</f>
        <v>46224</v>
      </c>
      <c r="E87" s="30" t="str">
        <f t="shared" ref="E87:G87" si="7">+E11</f>
        <v>Administrativo</v>
      </c>
      <c r="F87" s="29">
        <f t="shared" si="7"/>
        <v>46054</v>
      </c>
      <c r="G87" s="31">
        <f t="shared" si="7"/>
        <v>900000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5">
      <c r="A88" s="3"/>
      <c r="B88" s="115" t="s">
        <v>12</v>
      </c>
      <c r="C88" s="113"/>
      <c r="D88" s="32"/>
      <c r="E88" s="32"/>
      <c r="F88" s="26" t="s">
        <v>13</v>
      </c>
      <c r="G88" s="33" t="s">
        <v>14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5">
      <c r="A89" s="3"/>
      <c r="B89" s="14" t="str">
        <f t="shared" ref="B89:D104" si="8">+B13</f>
        <v>Remuneracion</v>
      </c>
      <c r="C89" s="3"/>
      <c r="D89" s="34" t="str">
        <f t="shared" ref="D89:F97" si="9">+D13</f>
        <v>Jornada hs.</v>
      </c>
      <c r="E89" s="35">
        <f t="shared" si="9"/>
        <v>8</v>
      </c>
      <c r="F89" s="36">
        <f t="shared" si="9"/>
        <v>900000</v>
      </c>
      <c r="G89" s="3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5">
      <c r="A90" s="3"/>
      <c r="B90" s="14" t="str">
        <f t="shared" si="8"/>
        <v xml:space="preserve"> </v>
      </c>
      <c r="C90" s="3"/>
      <c r="D90" s="3"/>
      <c r="E90" s="35"/>
      <c r="F90" s="36" t="str">
        <f t="shared" si="9"/>
        <v/>
      </c>
      <c r="G90" s="3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5">
      <c r="A91" s="3"/>
      <c r="B91" s="14" t="str">
        <f t="shared" si="8"/>
        <v xml:space="preserve"> </v>
      </c>
      <c r="C91" s="3"/>
      <c r="D91" s="3"/>
      <c r="E91" s="38"/>
      <c r="F91" s="36" t="str">
        <f t="shared" si="9"/>
        <v/>
      </c>
      <c r="G91" s="3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5">
      <c r="A92" s="7"/>
      <c r="B92" s="14" t="str">
        <f t="shared" si="8"/>
        <v xml:space="preserve"> </v>
      </c>
      <c r="C92" s="7"/>
      <c r="D92" s="7"/>
      <c r="E92" s="41"/>
      <c r="F92" s="36" t="str">
        <f t="shared" si="9"/>
        <v/>
      </c>
      <c r="G92" s="4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5">
      <c r="A93" s="3"/>
      <c r="B93" s="14" t="str">
        <f t="shared" si="8"/>
        <v xml:space="preserve"> </v>
      </c>
      <c r="C93" s="40" t="str">
        <f t="shared" si="8"/>
        <v/>
      </c>
      <c r="D93" s="3" t="str">
        <f t="shared" si="8"/>
        <v/>
      </c>
      <c r="E93" s="38"/>
      <c r="F93" s="36" t="str">
        <f t="shared" si="9"/>
        <v/>
      </c>
      <c r="G93" s="3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5">
      <c r="A94" s="3"/>
      <c r="B94" s="14" t="str">
        <f t="shared" si="8"/>
        <v>A cuenta futuros aumentos</v>
      </c>
      <c r="C94" s="43"/>
      <c r="D94" s="3"/>
      <c r="E94" s="38"/>
      <c r="F94" s="36">
        <f t="shared" si="9"/>
        <v>329609.63855421683</v>
      </c>
      <c r="G94" s="3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5">
      <c r="A95" s="3"/>
      <c r="B95" s="14" t="str">
        <f t="shared" si="8"/>
        <v xml:space="preserve"> </v>
      </c>
      <c r="C95" s="43"/>
      <c r="D95" s="3"/>
      <c r="E95" s="38"/>
      <c r="F95" s="36" t="str">
        <f t="shared" si="9"/>
        <v/>
      </c>
      <c r="G95" s="3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5">
      <c r="A96" s="3"/>
      <c r="B96" s="14" t="str">
        <f t="shared" si="8"/>
        <v xml:space="preserve"> </v>
      </c>
      <c r="C96" s="43"/>
      <c r="D96" s="3"/>
      <c r="E96" s="38"/>
      <c r="F96" s="36" t="str">
        <f t="shared" si="9"/>
        <v/>
      </c>
      <c r="G96" s="3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5">
      <c r="A97" s="7"/>
      <c r="B97" s="14" t="str">
        <f t="shared" si="8"/>
        <v xml:space="preserve"> </v>
      </c>
      <c r="C97" s="44"/>
      <c r="D97" s="7"/>
      <c r="E97" s="41"/>
      <c r="F97" s="36" t="str">
        <f t="shared" si="9"/>
        <v/>
      </c>
      <c r="G97" s="4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5">
      <c r="A98" s="3"/>
      <c r="B98" s="45" t="str">
        <f t="shared" si="8"/>
        <v>Jubilación</v>
      </c>
      <c r="C98" s="46">
        <f t="shared" si="8"/>
        <v>0.11</v>
      </c>
      <c r="D98" s="12"/>
      <c r="E98" s="38"/>
      <c r="F98" s="36"/>
      <c r="G98" s="37">
        <f t="shared" ref="G98:G101" si="10">+G22</f>
        <v>135257.06024096385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5">
      <c r="A99" s="3"/>
      <c r="B99" s="45" t="str">
        <f t="shared" si="8"/>
        <v>I.N.S.S.J.P.</v>
      </c>
      <c r="C99" s="46">
        <f t="shared" si="8"/>
        <v>0.03</v>
      </c>
      <c r="D99" s="12"/>
      <c r="E99" s="38"/>
      <c r="F99" s="36"/>
      <c r="G99" s="37">
        <f t="shared" si="10"/>
        <v>36888.289156626503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5">
      <c r="A100" s="3"/>
      <c r="B100" s="45" t="str">
        <f t="shared" si="8"/>
        <v>Obra Social</v>
      </c>
      <c r="C100" s="46">
        <f t="shared" si="8"/>
        <v>0.03</v>
      </c>
      <c r="D100" s="3"/>
      <c r="E100" s="38"/>
      <c r="F100" s="36"/>
      <c r="G100" s="37">
        <f t="shared" si="10"/>
        <v>36888.289156626503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5">
      <c r="A101" s="3"/>
      <c r="B101" s="45" t="str">
        <f t="shared" si="8"/>
        <v xml:space="preserve"> </v>
      </c>
      <c r="C101" s="47"/>
      <c r="D101" s="3"/>
      <c r="E101" s="38" t="str">
        <f t="shared" ref="E101:E112" si="11">+E25</f>
        <v xml:space="preserve"> </v>
      </c>
      <c r="F101" s="36"/>
      <c r="G101" s="37">
        <f t="shared" si="10"/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5">
      <c r="A102" s="3"/>
      <c r="B102" s="14" t="str">
        <f t="shared" si="8"/>
        <v xml:space="preserve"> </v>
      </c>
      <c r="C102" s="3"/>
      <c r="D102" s="3"/>
      <c r="E102" s="38" t="str">
        <f t="shared" si="11"/>
        <v xml:space="preserve"> </v>
      </c>
      <c r="F102" s="36"/>
      <c r="G102" s="3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5">
      <c r="A103" s="3"/>
      <c r="B103" s="14" t="str">
        <f t="shared" si="8"/>
        <v xml:space="preserve"> </v>
      </c>
      <c r="C103" s="3"/>
      <c r="D103" s="3"/>
      <c r="E103" s="38" t="str">
        <f t="shared" si="11"/>
        <v xml:space="preserve"> </v>
      </c>
      <c r="F103" s="36"/>
      <c r="G103" s="3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5">
      <c r="A104" s="3"/>
      <c r="B104" s="14" t="str">
        <f t="shared" si="8"/>
        <v xml:space="preserve"> </v>
      </c>
      <c r="C104" s="3"/>
      <c r="D104" s="3"/>
      <c r="E104" s="38" t="str">
        <f t="shared" si="11"/>
        <v xml:space="preserve"> </v>
      </c>
      <c r="F104" s="36"/>
      <c r="G104" s="3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5">
      <c r="A105" s="3"/>
      <c r="B105" s="14" t="str">
        <f t="shared" ref="B105:B112" si="12">+B29</f>
        <v xml:space="preserve"> </v>
      </c>
      <c r="C105" s="3"/>
      <c r="D105" s="3"/>
      <c r="E105" s="38" t="str">
        <f t="shared" si="11"/>
        <v xml:space="preserve"> </v>
      </c>
      <c r="F105" s="36"/>
      <c r="G105" s="3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5">
      <c r="A106" s="3"/>
      <c r="B106" s="14" t="str">
        <f t="shared" si="12"/>
        <v xml:space="preserve"> </v>
      </c>
      <c r="C106" s="3"/>
      <c r="D106" s="3"/>
      <c r="E106" s="38" t="str">
        <f t="shared" si="11"/>
        <v xml:space="preserve"> </v>
      </c>
      <c r="F106" s="36"/>
      <c r="G106" s="3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5">
      <c r="A107" s="3"/>
      <c r="B107" s="14" t="str">
        <f t="shared" si="12"/>
        <v xml:space="preserve"> </v>
      </c>
      <c r="C107" s="3"/>
      <c r="D107" s="3"/>
      <c r="E107" s="38" t="str">
        <f t="shared" si="11"/>
        <v xml:space="preserve"> </v>
      </c>
      <c r="F107" s="36"/>
      <c r="G107" s="3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5">
      <c r="A108" s="3"/>
      <c r="B108" s="14" t="str">
        <f t="shared" si="12"/>
        <v xml:space="preserve"> </v>
      </c>
      <c r="C108" s="3"/>
      <c r="D108" s="3"/>
      <c r="E108" s="38" t="str">
        <f t="shared" si="11"/>
        <v xml:space="preserve"> </v>
      </c>
      <c r="F108" s="36"/>
      <c r="G108" s="3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5">
      <c r="A109" s="3"/>
      <c r="B109" s="14" t="str">
        <f t="shared" si="12"/>
        <v xml:space="preserve"> </v>
      </c>
      <c r="C109" s="38" t="str">
        <f>+C35</f>
        <v xml:space="preserve"> </v>
      </c>
      <c r="D109" s="3"/>
      <c r="E109" s="38" t="str">
        <f t="shared" si="11"/>
        <v xml:space="preserve"> </v>
      </c>
      <c r="F109" s="36"/>
      <c r="G109" s="3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5">
      <c r="A110" s="3"/>
      <c r="B110" s="14" t="str">
        <f t="shared" si="12"/>
        <v xml:space="preserve"> </v>
      </c>
      <c r="C110" s="3"/>
      <c r="D110" s="3"/>
      <c r="E110" s="38" t="str">
        <f t="shared" si="11"/>
        <v xml:space="preserve"> </v>
      </c>
      <c r="F110" s="36"/>
      <c r="G110" s="3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5">
      <c r="A111" s="3"/>
      <c r="B111" s="14" t="str">
        <f t="shared" si="12"/>
        <v xml:space="preserve"> </v>
      </c>
      <c r="C111" s="38" t="str">
        <f>+C35</f>
        <v xml:space="preserve"> </v>
      </c>
      <c r="D111" s="3"/>
      <c r="E111" s="38" t="str">
        <f t="shared" si="11"/>
        <v xml:space="preserve"> </v>
      </c>
      <c r="F111" s="36"/>
      <c r="G111" s="3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5">
      <c r="A112" s="3"/>
      <c r="B112" s="14" t="str">
        <f t="shared" si="12"/>
        <v xml:space="preserve"> </v>
      </c>
      <c r="C112" s="3"/>
      <c r="D112" s="3"/>
      <c r="E112" s="38" t="str">
        <f t="shared" si="11"/>
        <v xml:space="preserve"> </v>
      </c>
      <c r="F112" s="36"/>
      <c r="G112" s="3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thickBot="1" x14ac:dyDescent="0.55000000000000004">
      <c r="A113" s="3"/>
      <c r="B113" s="48" t="s">
        <v>15</v>
      </c>
      <c r="C113" s="49"/>
      <c r="D113" s="49"/>
      <c r="E113" s="50">
        <f>SUM(E100:E112)</f>
        <v>0</v>
      </c>
      <c r="F113" s="50">
        <f t="shared" ref="F113:G113" si="13">SUM(F89:F112)</f>
        <v>1229609.6385542168</v>
      </c>
      <c r="G113" s="51">
        <f t="shared" si="13"/>
        <v>209033.63855421686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Top="1" thickBot="1" x14ac:dyDescent="0.55000000000000004">
      <c r="A114" s="3"/>
      <c r="B114" s="116"/>
      <c r="C114" s="117"/>
      <c r="D114" s="3"/>
      <c r="E114" s="38"/>
      <c r="F114" s="52" t="s">
        <v>16</v>
      </c>
      <c r="G114" s="53">
        <f>+F113+E113-G113</f>
        <v>1020576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thickTop="1" x14ac:dyDescent="0.5">
      <c r="A115" s="3"/>
      <c r="B115" s="105"/>
      <c r="C115" s="118"/>
      <c r="D115" s="3"/>
      <c r="E115" s="3"/>
      <c r="F115" s="3"/>
      <c r="G115" s="1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5">
      <c r="A116" s="3"/>
      <c r="B116" s="105"/>
      <c r="C116" s="106"/>
      <c r="D116" s="54"/>
      <c r="E116" s="55"/>
      <c r="F116" s="55"/>
      <c r="G116" s="5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5">
      <c r="A117" s="3"/>
      <c r="B117" s="105"/>
      <c r="C117" s="106"/>
      <c r="D117" s="57" t="s">
        <v>17</v>
      </c>
      <c r="E117" s="119" t="str">
        <f>+E41</f>
        <v>un millon Veinte mil quinientos setenta y seis con 0/100----</v>
      </c>
      <c r="F117" s="118"/>
      <c r="G117" s="10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5">
      <c r="A118" s="3"/>
      <c r="B118" s="105"/>
      <c r="C118" s="106"/>
      <c r="D118" s="58"/>
      <c r="E118" s="49"/>
      <c r="F118" s="49"/>
      <c r="G118" s="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5">
      <c r="A119" s="3"/>
      <c r="B119" s="14"/>
      <c r="C119" s="3"/>
      <c r="D119" s="60" t="s">
        <v>18</v>
      </c>
      <c r="E119" s="61"/>
      <c r="F119" s="62"/>
      <c r="G119" s="1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5">
      <c r="A120" s="3"/>
      <c r="B120" s="107" t="s">
        <v>44</v>
      </c>
      <c r="C120" s="106"/>
      <c r="D120" s="57" t="s">
        <v>19</v>
      </c>
      <c r="E120" s="61" t="s">
        <v>20</v>
      </c>
      <c r="F120" s="108">
        <f>+F44</f>
        <v>46240</v>
      </c>
      <c r="G120" s="10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5">
      <c r="A121" s="3"/>
      <c r="B121" s="107" t="s">
        <v>45</v>
      </c>
      <c r="C121" s="106"/>
      <c r="D121" s="58"/>
      <c r="E121" s="63"/>
      <c r="F121" s="63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thickBot="1" x14ac:dyDescent="0.55000000000000004">
      <c r="A122" s="3"/>
      <c r="B122" s="110" t="s">
        <v>46</v>
      </c>
      <c r="C122" s="111"/>
      <c r="D122" s="64"/>
      <c r="E122" s="64"/>
      <c r="F122" s="64"/>
      <c r="G122" s="6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thickBot="1" x14ac:dyDescent="0.5500000000000000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7" thickBot="1" x14ac:dyDescent="0.55000000000000004">
      <c r="A125" s="66"/>
      <c r="B125" s="67"/>
      <c r="C125" s="5"/>
      <c r="D125" s="5"/>
      <c r="E125" s="5"/>
      <c r="F125" s="5"/>
      <c r="G125" s="68"/>
      <c r="H125" s="38"/>
      <c r="I125" s="38"/>
      <c r="J125" s="69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7" thickBot="1" x14ac:dyDescent="0.55000000000000004">
      <c r="A126" s="70"/>
      <c r="B126" s="71" t="s">
        <v>23</v>
      </c>
      <c r="C126" s="72"/>
      <c r="D126" s="72"/>
      <c r="E126" s="72"/>
      <c r="F126" s="72"/>
      <c r="G126" s="73">
        <f>SUM(G127:G133)</f>
        <v>308928.26385542168</v>
      </c>
      <c r="H126" s="74"/>
      <c r="I126" s="74"/>
      <c r="J126" s="74">
        <f>+E89</f>
        <v>8</v>
      </c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x14ac:dyDescent="0.5">
      <c r="A127" s="76"/>
      <c r="B127" s="77"/>
      <c r="C127" s="78"/>
      <c r="D127" s="78"/>
      <c r="E127" s="78"/>
      <c r="F127" s="79"/>
      <c r="G127" s="80">
        <f>+E115+F115</f>
        <v>0</v>
      </c>
      <c r="H127" s="81"/>
      <c r="I127" s="81"/>
      <c r="J127" s="81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x14ac:dyDescent="0.5">
      <c r="A128" s="76"/>
      <c r="B128" s="77" t="s">
        <v>24</v>
      </c>
      <c r="C128" s="78"/>
      <c r="D128" s="78"/>
      <c r="E128" s="78"/>
      <c r="F128" s="79"/>
      <c r="G128" s="82">
        <f t="shared" ref="G128:G129" si="14">$F$37*J128</f>
        <v>221329.73493975902</v>
      </c>
      <c r="H128" s="81"/>
      <c r="I128" s="81"/>
      <c r="J128" s="83">
        <f>IF(J126="gerente - CEO",0,0.18)</f>
        <v>0.18</v>
      </c>
      <c r="K128" s="83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x14ac:dyDescent="0.5">
      <c r="A129" s="76"/>
      <c r="B129" s="77" t="s">
        <v>25</v>
      </c>
      <c r="C129" s="78"/>
      <c r="D129" s="78"/>
      <c r="E129" s="78"/>
      <c r="F129" s="79"/>
      <c r="G129" s="82">
        <f t="shared" si="14"/>
        <v>73776.578313253005</v>
      </c>
      <c r="H129" s="81"/>
      <c r="I129" s="81"/>
      <c r="J129" s="83">
        <f>IF(J126="gerente - CEO",0,0.06)</f>
        <v>0.06</v>
      </c>
      <c r="K129" s="83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x14ac:dyDescent="0.5">
      <c r="A130" s="76"/>
      <c r="B130" s="77" t="s">
        <v>26</v>
      </c>
      <c r="C130" s="78"/>
      <c r="D130" s="78"/>
      <c r="E130" s="78"/>
      <c r="F130" s="79"/>
      <c r="G130" s="82">
        <f t="shared" ref="G130:G131" si="15">$F$37*J130+K130</f>
        <v>13397.330602409638</v>
      </c>
      <c r="H130" s="81"/>
      <c r="I130" s="81"/>
      <c r="J130" s="83">
        <f t="shared" ref="J130:K131" si="16">+J54</f>
        <v>9.4000000000000004E-3</v>
      </c>
      <c r="K130" s="84">
        <f t="shared" si="16"/>
        <v>1839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x14ac:dyDescent="0.5">
      <c r="A131" s="76"/>
      <c r="B131" s="77" t="s">
        <v>27</v>
      </c>
      <c r="C131" s="78"/>
      <c r="D131" s="78"/>
      <c r="E131" s="78"/>
      <c r="F131" s="79"/>
      <c r="G131" s="82">
        <f t="shared" si="15"/>
        <v>424.62</v>
      </c>
      <c r="H131" s="81"/>
      <c r="I131" s="81"/>
      <c r="J131" s="83">
        <f t="shared" si="16"/>
        <v>0</v>
      </c>
      <c r="K131" s="84">
        <f t="shared" si="16"/>
        <v>424.62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x14ac:dyDescent="0.5">
      <c r="A132" s="76"/>
      <c r="B132" s="77" t="s">
        <v>28</v>
      </c>
      <c r="C132" s="78"/>
      <c r="D132" s="78"/>
      <c r="E132" s="78"/>
      <c r="F132" s="79"/>
      <c r="G132" s="82">
        <f>$F$37*J132</f>
        <v>0</v>
      </c>
      <c r="H132" s="81"/>
      <c r="I132" s="81"/>
      <c r="J132" s="83">
        <v>0</v>
      </c>
      <c r="K132" s="83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x14ac:dyDescent="0.5">
      <c r="A133" s="76"/>
      <c r="B133" s="77"/>
      <c r="C133" s="78"/>
      <c r="D133" s="78"/>
      <c r="E133" s="78"/>
      <c r="F133" s="79"/>
      <c r="G133" s="82"/>
      <c r="H133" s="81"/>
      <c r="I133" s="81"/>
      <c r="J133" s="81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x14ac:dyDescent="0.5">
      <c r="A134" s="76"/>
      <c r="B134" s="85" t="s">
        <v>29</v>
      </c>
      <c r="C134" s="86"/>
      <c r="D134" s="86"/>
      <c r="E134" s="86"/>
      <c r="F134" s="87"/>
      <c r="G134" s="88">
        <f>SUM(G128:G133)</f>
        <v>308928.26385542168</v>
      </c>
      <c r="H134" s="81"/>
      <c r="I134" s="81"/>
      <c r="J134" s="81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x14ac:dyDescent="0.5">
      <c r="A135" s="76"/>
      <c r="B135" s="85"/>
      <c r="C135" s="86"/>
      <c r="D135" s="86"/>
      <c r="E135" s="86"/>
      <c r="F135" s="87"/>
      <c r="G135" s="89"/>
      <c r="H135" s="81"/>
      <c r="I135" s="81"/>
      <c r="J135" s="81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x14ac:dyDescent="0.5">
      <c r="A136" s="70"/>
      <c r="B136" s="112" t="s">
        <v>30</v>
      </c>
      <c r="C136" s="113"/>
      <c r="D136" s="113"/>
      <c r="E136" s="113"/>
      <c r="F136" s="113"/>
      <c r="G136" s="114"/>
      <c r="H136" s="74"/>
      <c r="I136" s="74"/>
      <c r="J136" s="74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x14ac:dyDescent="0.5">
      <c r="A137" s="76"/>
      <c r="B137" s="77"/>
      <c r="C137" s="90"/>
      <c r="D137" s="90"/>
      <c r="E137" s="78"/>
      <c r="F137" s="79"/>
      <c r="G137" s="82"/>
      <c r="H137" s="81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x14ac:dyDescent="0.5">
      <c r="A138" s="76"/>
      <c r="B138" s="77" t="s">
        <v>31</v>
      </c>
      <c r="C138" s="91"/>
      <c r="D138" s="91">
        <f>SUM(D139:D140)</f>
        <v>258218.02409638552</v>
      </c>
      <c r="E138" s="78"/>
      <c r="F138" s="91" t="s">
        <v>32</v>
      </c>
      <c r="G138" s="82"/>
      <c r="H138" s="81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x14ac:dyDescent="0.5">
      <c r="A139" s="76"/>
      <c r="B139" s="77"/>
      <c r="C139" s="78" t="s">
        <v>33</v>
      </c>
      <c r="D139" s="79">
        <f>+G128</f>
        <v>221329.73493975902</v>
      </c>
      <c r="E139" s="78"/>
      <c r="F139" s="79"/>
      <c r="G139" s="82"/>
      <c r="H139" s="81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x14ac:dyDescent="0.5">
      <c r="A140" s="76"/>
      <c r="B140" s="77"/>
      <c r="C140" s="78" t="s">
        <v>34</v>
      </c>
      <c r="D140" s="79">
        <f>+G100+G101</f>
        <v>36888.289156626503</v>
      </c>
      <c r="E140" s="78"/>
      <c r="F140" s="79"/>
      <c r="G140" s="82"/>
      <c r="H140" s="81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x14ac:dyDescent="0.5">
      <c r="A141" s="76"/>
      <c r="B141" s="77" t="s">
        <v>35</v>
      </c>
      <c r="C141" s="91"/>
      <c r="D141" s="91">
        <f>SUM(D142:D143)</f>
        <v>73776.578313253005</v>
      </c>
      <c r="E141" s="78"/>
      <c r="F141" s="79"/>
      <c r="G141" s="82"/>
      <c r="H141" s="81"/>
      <c r="I141" s="81" t="s">
        <v>36</v>
      </c>
      <c r="J141" s="90">
        <f>+G116</f>
        <v>0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x14ac:dyDescent="0.5">
      <c r="A142" s="76"/>
      <c r="B142" s="77"/>
      <c r="C142" s="78" t="s">
        <v>33</v>
      </c>
      <c r="D142" s="79">
        <f>+G129</f>
        <v>73776.578313253005</v>
      </c>
      <c r="E142" s="78"/>
      <c r="F142" s="79"/>
      <c r="G142" s="82"/>
      <c r="H142" s="81"/>
      <c r="I142" s="81" t="s">
        <v>37</v>
      </c>
      <c r="J142" s="90">
        <f>+D138</f>
        <v>258218.02409638552</v>
      </c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x14ac:dyDescent="0.5">
      <c r="A143" s="76"/>
      <c r="B143" s="77"/>
      <c r="C143" s="78" t="s">
        <v>34</v>
      </c>
      <c r="D143" s="79">
        <f>+G102</f>
        <v>0</v>
      </c>
      <c r="E143" s="78"/>
      <c r="F143" s="79"/>
      <c r="G143" s="82"/>
      <c r="H143" s="81"/>
      <c r="I143" s="81" t="s">
        <v>38</v>
      </c>
      <c r="J143" s="90">
        <f>+D141</f>
        <v>73776.578313253005</v>
      </c>
      <c r="K143" s="90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x14ac:dyDescent="0.5">
      <c r="A144" s="76"/>
      <c r="B144" s="77" t="s">
        <v>39</v>
      </c>
      <c r="C144" s="91"/>
      <c r="D144" s="91">
        <f>SUM(D145:D146)</f>
        <v>13397.330602409638</v>
      </c>
      <c r="E144" s="78"/>
      <c r="F144" s="79"/>
      <c r="G144" s="82"/>
      <c r="H144" s="81"/>
      <c r="I144" s="81" t="s">
        <v>26</v>
      </c>
      <c r="J144" s="90">
        <f>+D144</f>
        <v>13397.330602409638</v>
      </c>
      <c r="K144" s="90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x14ac:dyDescent="0.5">
      <c r="A145" s="76"/>
      <c r="B145" s="77"/>
      <c r="C145" s="78" t="s">
        <v>33</v>
      </c>
      <c r="D145" s="90">
        <f>+G130</f>
        <v>13397.330602409638</v>
      </c>
      <c r="E145" s="78"/>
      <c r="F145" s="79"/>
      <c r="G145" s="82"/>
      <c r="H145" s="81"/>
      <c r="I145" s="81" t="s">
        <v>40</v>
      </c>
      <c r="J145" s="90">
        <f>+D147</f>
        <v>0</v>
      </c>
      <c r="K145" s="90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x14ac:dyDescent="0.5">
      <c r="A146" s="76"/>
      <c r="B146" s="77"/>
      <c r="C146" s="78"/>
      <c r="D146" s="92"/>
      <c r="E146" s="92"/>
      <c r="F146" s="84"/>
      <c r="G146" s="93"/>
      <c r="H146" s="94"/>
      <c r="I146" s="81" t="s">
        <v>41</v>
      </c>
      <c r="J146" s="90">
        <f>+D150</f>
        <v>424.62</v>
      </c>
      <c r="K146" s="90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x14ac:dyDescent="0.5">
      <c r="A147" s="76"/>
      <c r="B147" s="77" t="s">
        <v>42</v>
      </c>
      <c r="C147" s="91"/>
      <c r="D147" s="91">
        <f>SUM(D148:D149)</f>
        <v>0</v>
      </c>
      <c r="E147" s="92"/>
      <c r="F147" s="84"/>
      <c r="G147" s="93"/>
      <c r="H147" s="94"/>
      <c r="I147" s="81"/>
      <c r="J147" s="94"/>
      <c r="K147" s="90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x14ac:dyDescent="0.5">
      <c r="A148" s="76"/>
      <c r="B148" s="77"/>
      <c r="C148" s="78" t="s">
        <v>33</v>
      </c>
      <c r="D148" s="92"/>
      <c r="E148" s="92"/>
      <c r="F148" s="84"/>
      <c r="G148" s="93"/>
      <c r="H148" s="94"/>
      <c r="I148" s="81"/>
      <c r="J148" s="94"/>
      <c r="K148" s="90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x14ac:dyDescent="0.5">
      <c r="A149" s="76"/>
      <c r="B149" s="77"/>
      <c r="C149" s="78" t="s">
        <v>34</v>
      </c>
      <c r="D149" s="79">
        <f>+G104</f>
        <v>0</v>
      </c>
      <c r="E149" s="92"/>
      <c r="F149" s="84"/>
      <c r="G149" s="93"/>
      <c r="H149" s="94"/>
      <c r="I149" s="81"/>
      <c r="J149" s="94"/>
      <c r="K149" s="90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x14ac:dyDescent="0.5">
      <c r="A150" s="95"/>
      <c r="B150" s="77" t="s">
        <v>43</v>
      </c>
      <c r="C150" s="91"/>
      <c r="D150" s="91">
        <f>SUM(D151:D152)</f>
        <v>424.62</v>
      </c>
      <c r="E150" s="92"/>
      <c r="F150" s="84"/>
      <c r="G150" s="93"/>
      <c r="H150" s="94"/>
      <c r="I150" s="81"/>
      <c r="J150" s="94"/>
      <c r="K150" s="90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x14ac:dyDescent="0.5">
      <c r="A151" s="95"/>
      <c r="B151" s="96"/>
      <c r="C151" s="78" t="s">
        <v>33</v>
      </c>
      <c r="D151" s="97">
        <f>+G131</f>
        <v>424.62</v>
      </c>
      <c r="E151" s="92"/>
      <c r="F151" s="84"/>
      <c r="G151" s="93"/>
      <c r="H151" s="94"/>
      <c r="I151" s="81"/>
      <c r="J151" s="94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x14ac:dyDescent="0.5">
      <c r="A152" s="95"/>
      <c r="B152" s="96"/>
      <c r="C152" s="92"/>
      <c r="D152" s="92"/>
      <c r="E152" s="92"/>
      <c r="F152" s="84"/>
      <c r="G152" s="93"/>
      <c r="H152" s="94"/>
      <c r="I152" s="94"/>
      <c r="J152" s="94"/>
      <c r="K152" s="97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x14ac:dyDescent="0.5">
      <c r="A153" s="95"/>
      <c r="B153" s="98"/>
      <c r="C153" s="99"/>
      <c r="D153" s="99"/>
      <c r="E153" s="99"/>
      <c r="F153" s="100"/>
      <c r="G153" s="101"/>
      <c r="H153" s="94"/>
      <c r="I153" s="94"/>
      <c r="J153" s="94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2.75" customHeight="1" x14ac:dyDescent="0.5">
      <c r="A154" s="3"/>
      <c r="B154" s="66"/>
      <c r="C154" s="66"/>
      <c r="D154" s="3"/>
      <c r="E154" s="3"/>
      <c r="F154" s="3"/>
      <c r="G154" s="3"/>
      <c r="H154" s="10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5"/>
    <row r="324" spans="1:26" ht="15.75" customHeight="1" x14ac:dyDescent="0.5"/>
    <row r="325" spans="1:26" ht="15.75" customHeight="1" x14ac:dyDescent="0.5"/>
    <row r="326" spans="1:26" ht="15.75" customHeight="1" x14ac:dyDescent="0.5"/>
    <row r="327" spans="1:26" ht="15.75" customHeight="1" x14ac:dyDescent="0.5"/>
    <row r="328" spans="1:26" ht="15.75" customHeight="1" x14ac:dyDescent="0.5"/>
    <row r="329" spans="1:26" ht="15.75" customHeight="1" x14ac:dyDescent="0.5"/>
    <row r="330" spans="1:26" ht="15.75" customHeight="1" x14ac:dyDescent="0.5"/>
    <row r="331" spans="1:26" ht="15.75" customHeight="1" x14ac:dyDescent="0.5"/>
    <row r="332" spans="1:26" ht="15.75" customHeight="1" x14ac:dyDescent="0.5"/>
    <row r="333" spans="1:26" ht="15.75" customHeight="1" x14ac:dyDescent="0.5"/>
    <row r="334" spans="1:26" ht="15.75" customHeight="1" x14ac:dyDescent="0.5"/>
    <row r="335" spans="1:26" ht="15.75" customHeight="1" x14ac:dyDescent="0.5"/>
    <row r="336" spans="1:2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  <row r="1001" ht="15.75" customHeight="1" x14ac:dyDescent="0.5"/>
    <row r="1002" ht="15.75" customHeight="1" x14ac:dyDescent="0.5"/>
    <row r="1003" ht="15.75" customHeight="1" x14ac:dyDescent="0.5"/>
    <row r="1004" ht="15.75" customHeight="1" x14ac:dyDescent="0.5"/>
    <row r="1005" ht="15.75" customHeight="1" x14ac:dyDescent="0.5"/>
    <row r="1006" ht="15.75" customHeight="1" x14ac:dyDescent="0.5"/>
    <row r="1007" ht="15.75" customHeight="1" x14ac:dyDescent="0.5"/>
    <row r="1008" ht="15.75" customHeight="1" x14ac:dyDescent="0.5"/>
    <row r="1009" ht="15.75" customHeight="1" x14ac:dyDescent="0.5"/>
    <row r="1010" ht="15.75" customHeight="1" x14ac:dyDescent="0.5"/>
    <row r="1011" ht="15.75" customHeight="1" x14ac:dyDescent="0.5"/>
    <row r="1012" ht="15.75" customHeight="1" x14ac:dyDescent="0.5"/>
    <row r="1013" ht="15.75" customHeight="1" x14ac:dyDescent="0.5"/>
    <row r="1014" ht="15.75" customHeight="1" x14ac:dyDescent="0.5"/>
    <row r="1015" ht="15.75" customHeight="1" x14ac:dyDescent="0.5"/>
    <row r="1016" ht="15.75" customHeight="1" x14ac:dyDescent="0.5"/>
    <row r="1017" ht="15.75" customHeight="1" x14ac:dyDescent="0.5"/>
    <row r="1018" ht="15.75" customHeight="1" x14ac:dyDescent="0.5"/>
    <row r="1019" ht="15.75" customHeight="1" x14ac:dyDescent="0.5"/>
    <row r="1020" ht="15.75" customHeight="1" x14ac:dyDescent="0.5"/>
    <row r="1021" ht="15.75" customHeight="1" x14ac:dyDescent="0.5"/>
    <row r="1022" ht="15.75" customHeight="1" x14ac:dyDescent="0.5"/>
    <row r="1023" ht="15.75" customHeight="1" x14ac:dyDescent="0.5"/>
    <row r="1024" ht="15.75" customHeight="1" x14ac:dyDescent="0.5"/>
    <row r="1025" ht="15.75" customHeight="1" x14ac:dyDescent="0.5"/>
    <row r="1026" ht="15.75" customHeight="1" x14ac:dyDescent="0.5"/>
    <row r="1027" ht="15.75" customHeight="1" x14ac:dyDescent="0.5"/>
    <row r="1028" ht="15.75" customHeight="1" x14ac:dyDescent="0.5"/>
    <row r="1029" ht="15.75" customHeight="1" x14ac:dyDescent="0.5"/>
  </sheetData>
  <mergeCells count="30">
    <mergeCell ref="B38:C38"/>
    <mergeCell ref="F2:G3"/>
    <mergeCell ref="B3:C3"/>
    <mergeCell ref="B5:D5"/>
    <mergeCell ref="C7:D7"/>
    <mergeCell ref="B12:C12"/>
    <mergeCell ref="C83:D83"/>
    <mergeCell ref="B39:C39"/>
    <mergeCell ref="B40:C40"/>
    <mergeCell ref="B41:C41"/>
    <mergeCell ref="E41:G41"/>
    <mergeCell ref="B42:C42"/>
    <mergeCell ref="F44:G44"/>
    <mergeCell ref="B47:C47"/>
    <mergeCell ref="B48:C48"/>
    <mergeCell ref="B60:G60"/>
    <mergeCell ref="F80:G81"/>
    <mergeCell ref="B81:C81"/>
    <mergeCell ref="B136:G136"/>
    <mergeCell ref="B88:C88"/>
    <mergeCell ref="B114:C114"/>
    <mergeCell ref="B115:C115"/>
    <mergeCell ref="B116:C116"/>
    <mergeCell ref="B117:C117"/>
    <mergeCell ref="E117:G117"/>
    <mergeCell ref="B118:C118"/>
    <mergeCell ref="B120:C120"/>
    <mergeCell ref="F120:G120"/>
    <mergeCell ref="B121:C121"/>
    <mergeCell ref="B122:C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AnaliaCastro</dc:creator>
  <cp:lastModifiedBy>Germán Torres</cp:lastModifiedBy>
  <dcterms:created xsi:type="dcterms:W3CDTF">2026-08-26T17:57:38Z</dcterms:created>
  <dcterms:modified xsi:type="dcterms:W3CDTF">2026-08-27T19:50:49Z</dcterms:modified>
</cp:coreProperties>
</file>